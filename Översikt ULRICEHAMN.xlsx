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s="2" t="inlineStr">
        <is>
          <t>Brunlångöra
Nordfladdermus
Dvärgpipistrell
Större brunfladdermus</t>
        </is>
      </c>
      <c r="V2">
        <f>HYPERLINK("https://klasma.github.io/Logging_1491/artfynd/A 64789-2023 artfynd.xlsx", "A 64789-2023")</f>
        <v/>
      </c>
      <c r="W2">
        <f>HYPERLINK("https://klasma.github.io/Logging_1491/kartor/A 64789-2023 karta.png", "A 64789-2023")</f>
        <v/>
      </c>
      <c r="Y2">
        <f>HYPERLINK("https://klasma.github.io/Logging_1491/klagomål/A 64789-2023 FSC-klagomål.docx", "A 64789-2023")</f>
        <v/>
      </c>
      <c r="Z2">
        <f>HYPERLINK("https://klasma.github.io/Logging_1491/klagomålsmail/A 64789-2023 FSC-klagomål mail.docx", "A 64789-2023")</f>
        <v/>
      </c>
      <c r="AA2">
        <f>HYPERLINK("https://klasma.github.io/Logging_1491/tillsyn/A 64789-2023 tillsynsbegäran.docx", "A 64789-2023")</f>
        <v/>
      </c>
      <c r="AB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s="2" t="inlineStr">
        <is>
          <t>Ask
Skogsalm
Svinrot
Åkerkulla</t>
        </is>
      </c>
      <c r="V3">
        <f>HYPERLINK("https://klasma.github.io/Logging_1491/artfynd/A 35643-2023 artfynd.xlsx", "A 35643-2023")</f>
        <v/>
      </c>
      <c r="W3">
        <f>HYPERLINK("https://klasma.github.io/Logging_1491/kartor/A 35643-2023 karta.png", "A 35643-2023")</f>
        <v/>
      </c>
      <c r="Y3">
        <f>HYPERLINK("https://klasma.github.io/Logging_1491/klagomål/A 35643-2023 FSC-klagomål.docx", "A 35643-2023")</f>
        <v/>
      </c>
      <c r="Z3">
        <f>HYPERLINK("https://klasma.github.io/Logging_1491/klagomålsmail/A 35643-2023 FSC-klagomål mail.docx", "A 35643-2023")</f>
        <v/>
      </c>
      <c r="AA3">
        <f>HYPERLINK("https://klasma.github.io/Logging_1491/tillsyn/A 35643-2023 tillsynsbegäran.docx", "A 35643-2023")</f>
        <v/>
      </c>
      <c r="AB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46221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s="2" t="inlineStr">
        <is>
          <t>Ask
Gulvit blekspik
Scharlakansskål</t>
        </is>
      </c>
      <c r="V5">
        <f>HYPERLINK("https://klasma.github.io/Logging_1491/artfynd/A 11373-2026 artfynd.xlsx", "A 11373-2026")</f>
        <v/>
      </c>
      <c r="W5">
        <f>HYPERLINK("https://klasma.github.io/Logging_1491/kartor/A 11373-2026 karta.png", "A 11373-2026")</f>
        <v/>
      </c>
      <c r="Y5">
        <f>HYPERLINK("https://klasma.github.io/Logging_1491/klagomål/A 11373-2026 FSC-klagomål.docx", "A 11373-2026")</f>
        <v/>
      </c>
      <c r="Z5">
        <f>HYPERLINK("https://klasma.github.io/Logging_1491/klagomålsmail/A 11373-2026 FSC-klagomål mail.docx", "A 11373-2026")</f>
        <v/>
      </c>
      <c r="AA5">
        <f>HYPERLINK("https://klasma.github.io/Logging_1491/tillsyn/A 11373-2026 tillsynsbegäran.docx", "A 11373-2026")</f>
        <v/>
      </c>
      <c r="AB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46221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Vanlig groda
Vanlig padda
Revlummer</t>
        </is>
      </c>
      <c r="V6">
        <f>HYPERLINK("https://klasma.github.io/Logging_1491/artfynd/A 13785-2026 artfynd.xlsx", "A 13785-2026")</f>
        <v/>
      </c>
      <c r="W6">
        <f>HYPERLINK("https://klasma.github.io/Logging_1491/kartor/A 13785-2026 karta.png", "A 13785-2026")</f>
        <v/>
      </c>
      <c r="Y6">
        <f>HYPERLINK("https://klasma.github.io/Logging_1491/klagomål/A 13785-2026 FSC-klagomål.docx", "A 13785-2026")</f>
        <v/>
      </c>
      <c r="Z6">
        <f>HYPERLINK("https://klasma.github.io/Logging_1491/klagomålsmail/A 13785-2026 FSC-klagomål mail.docx", "A 13785-2026")</f>
        <v/>
      </c>
      <c r="AA6">
        <f>HYPERLINK("https://klasma.github.io/Logging_1491/tillsyn/A 13785-2026 tillsynsbegäran.docx", "A 13785-2026")</f>
        <v/>
      </c>
      <c r="AB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46221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s="2" t="inlineStr">
        <is>
          <t>Ask
Guldlockmossa
Hasselmus</t>
        </is>
      </c>
      <c r="V7">
        <f>HYPERLINK("https://klasma.github.io/Logging_1491/artfynd/A 18959-2022 artfynd.xlsx", "A 18959-2022")</f>
        <v/>
      </c>
      <c r="W7">
        <f>HYPERLINK("https://klasma.github.io/Logging_1491/kartor/A 18959-2022 karta.png", "A 18959-2022")</f>
        <v/>
      </c>
      <c r="Y7">
        <f>HYPERLINK("https://klasma.github.io/Logging_1491/klagomål/A 18959-2022 FSC-klagomål.docx", "A 18959-2022")</f>
        <v/>
      </c>
      <c r="Z7">
        <f>HYPERLINK("https://klasma.github.io/Logging_1491/klagomålsmail/A 18959-2022 FSC-klagomål mail.docx", "A 18959-2022")</f>
        <v/>
      </c>
      <c r="AA7">
        <f>HYPERLINK("https://klasma.github.io/Logging_1491/tillsyn/A 18959-2022 tillsynsbegäran.docx", "A 18959-2022")</f>
        <v/>
      </c>
      <c r="AB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Vanlig groda
Vanlig padda
Revlummer</t>
        </is>
      </c>
      <c r="V8">
        <f>HYPERLINK("https://klasma.github.io/Logging_1491/artfynd/A 8978-2024 artfynd.xlsx", "A 8978-2024")</f>
        <v/>
      </c>
      <c r="W8">
        <f>HYPERLINK("https://klasma.github.io/Logging_1491/kartor/A 8978-2024 karta.png", "A 8978-2024")</f>
        <v/>
      </c>
      <c r="Y8">
        <f>HYPERLINK("https://klasma.github.io/Logging_1491/klagomål/A 8978-2024 FSC-klagomål.docx", "A 8978-2024")</f>
        <v/>
      </c>
      <c r="Z8">
        <f>HYPERLINK("https://klasma.github.io/Logging_1491/klagomålsmail/A 8978-2024 FSC-klagomål mail.docx", "A 8978-2024")</f>
        <v/>
      </c>
      <c r="AA8">
        <f>HYPERLINK("https://klasma.github.io/Logging_1491/tillsyn/A 8978-2024 tillsynsbegäran.docx", "A 8978-2024")</f>
        <v/>
      </c>
      <c r="AB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46221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Springkorn
Revlummer</t>
        </is>
      </c>
      <c r="V12">
        <f>HYPERLINK("https://klasma.github.io/Logging_1491/artfynd/A 22225-2025 artfynd.xlsx", "A 22225-2025")</f>
        <v/>
      </c>
      <c r="W12">
        <f>HYPERLINK("https://klasma.github.io/Logging_1491/kartor/A 22225-2025 karta.png", "A 22225-2025")</f>
        <v/>
      </c>
      <c r="Y12">
        <f>HYPERLINK("https://klasma.github.io/Logging_1491/klagomål/A 22225-2025 FSC-klagomål.docx", "A 22225-2025")</f>
        <v/>
      </c>
      <c r="Z12">
        <f>HYPERLINK("https://klasma.github.io/Logging_1491/klagomålsmail/A 22225-2025 FSC-klagomål mail.docx", "A 22225-2025")</f>
        <v/>
      </c>
      <c r="AA12">
        <f>HYPERLINK("https://klasma.github.io/Logging_1491/tillsyn/A 22225-2025 tillsynsbegäran.docx", "A 22225-2025")</f>
        <v/>
      </c>
      <c r="AB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46221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Vanlig groda
Vanlig padda</t>
        </is>
      </c>
      <c r="V13">
        <f>HYPERLINK("https://klasma.github.io/Logging_1491/artfynd/A 13788-2026 artfynd.xlsx", "A 13788-2026")</f>
        <v/>
      </c>
      <c r="W13">
        <f>HYPERLINK("https://klasma.github.io/Logging_1491/kartor/A 13788-2026 karta.png", "A 13788-2026")</f>
        <v/>
      </c>
      <c r="Y13">
        <f>HYPERLINK("https://klasma.github.io/Logging_1491/klagomål/A 13788-2026 FSC-klagomål.docx", "A 13788-2026")</f>
        <v/>
      </c>
      <c r="Z13">
        <f>HYPERLINK("https://klasma.github.io/Logging_1491/klagomålsmail/A 13788-2026 FSC-klagomål mail.docx", "A 13788-2026")</f>
        <v/>
      </c>
      <c r="AA13">
        <f>HYPERLINK("https://klasma.github.io/Logging_1491/tillsyn/A 13788-2026 tillsynsbegäran.docx", "A 13788-2026")</f>
        <v/>
      </c>
      <c r="AB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Y15">
        <f>HYPERLINK("https://klasma.github.io/Logging_1491/klagomål/A 48150-2021 FSC-klagomål.docx", "A 48150-2021")</f>
        <v/>
      </c>
      <c r="Z15">
        <f>HYPERLINK("https://klasma.github.io/Logging_1491/klagomålsmail/A 48150-2021 FSC-klagomål mail.docx", "A 48150-2021")</f>
        <v/>
      </c>
      <c r="AA15">
        <f>HYPERLINK("https://klasma.github.io/Logging_1491/tillsyn/A 48150-2021 tillsynsbegäran.docx", "A 48150-2021")</f>
        <v/>
      </c>
      <c r="AB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Y16">
        <f>HYPERLINK("https://klasma.github.io/Logging_1491/klagomål/A 51770-2022 FSC-klagomål.docx", "A 51770-2022")</f>
        <v/>
      </c>
      <c r="Z16">
        <f>HYPERLINK("https://klasma.github.io/Logging_1491/klagomålsmail/A 51770-2022 FSC-klagomål mail.docx", "A 51770-2022")</f>
        <v/>
      </c>
      <c r="AA16">
        <f>HYPERLINK("https://klasma.github.io/Logging_1491/tillsyn/A 51770-2022 tillsynsbegäran.docx", "A 51770-2022")</f>
        <v/>
      </c>
      <c r="AB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Y17">
        <f>HYPERLINK("https://klasma.github.io/Logging_1491/klagomål/A 53555-2022 FSC-klagomål.docx", "A 53555-2022")</f>
        <v/>
      </c>
      <c r="Z17">
        <f>HYPERLINK("https://klasma.github.io/Logging_1491/klagomålsmail/A 53555-2022 FSC-klagomål mail.docx", "A 53555-2022")</f>
        <v/>
      </c>
      <c r="AA17">
        <f>HYPERLINK("https://klasma.github.io/Logging_1491/tillsyn/A 53555-2022 tillsynsbegäran.docx", "A 53555-2022")</f>
        <v/>
      </c>
      <c r="AB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46221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Tjäder</t>
        </is>
      </c>
      <c r="V18">
        <f>HYPERLINK("https://klasma.github.io/Logging_1491/artfynd/A 26380-2025 artfynd.xlsx", "A 26380-2025")</f>
        <v/>
      </c>
      <c r="W18">
        <f>HYPERLINK("https://klasma.github.io/Logging_1491/kartor/A 26380-2025 karta.png", "A 26380-2025")</f>
        <v/>
      </c>
      <c r="Y18">
        <f>HYPERLINK("https://klasma.github.io/Logging_1491/klagomål/A 26380-2025 FSC-klagomål.docx", "A 26380-2025")</f>
        <v/>
      </c>
      <c r="Z18">
        <f>HYPERLINK("https://klasma.github.io/Logging_1491/klagomålsmail/A 26380-2025 FSC-klagomål mail.docx", "A 26380-2025")</f>
        <v/>
      </c>
      <c r="AA18">
        <f>HYPERLINK("https://klasma.github.io/Logging_1491/tillsyn/A 26380-2025 tillsynsbegäran.docx", "A 26380-2025")</f>
        <v/>
      </c>
      <c r="AB18">
        <f>HYPERLINK("https://klasma.github.io/Logging_1491/tillsynsmail/A 26380-2025 tillsynsbegäran mail.docx", "A 26380-2025")</f>
        <v/>
      </c>
      <c r="AC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46221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Tjäder</t>
        </is>
      </c>
      <c r="V19">
        <f>HYPERLINK("https://klasma.github.io/Logging_1491/artfynd/A 26381-2025 artfynd.xlsx", "A 26381-2025")</f>
        <v/>
      </c>
      <c r="W19">
        <f>HYPERLINK("https://klasma.github.io/Logging_1491/kartor/A 26381-2025 karta.png", "A 26381-2025")</f>
        <v/>
      </c>
      <c r="Y19">
        <f>HYPERLINK("https://klasma.github.io/Logging_1491/klagomål/A 26381-2025 FSC-klagomål.docx", "A 26381-2025")</f>
        <v/>
      </c>
      <c r="Z19">
        <f>HYPERLINK("https://klasma.github.io/Logging_1491/klagomålsmail/A 26381-2025 FSC-klagomål mail.docx", "A 26381-2025")</f>
        <v/>
      </c>
      <c r="AA19">
        <f>HYPERLINK("https://klasma.github.io/Logging_1491/tillsyn/A 26381-2025 tillsynsbegäran.docx", "A 26381-2025")</f>
        <v/>
      </c>
      <c r="AB19">
        <f>HYPERLINK("https://klasma.github.io/Logging_1491/tillsynsmail/A 26381-2025 tillsynsbegäran mail.docx", "A 26381-2025")</f>
        <v/>
      </c>
      <c r="AC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46221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s="2" t="inlineStr">
        <is>
          <t>Ask</t>
        </is>
      </c>
      <c r="V20">
        <f>HYPERLINK("https://klasma.github.io/Logging_1491/artfynd/A 61199-2023 artfynd.xlsx", "A 61199-2023")</f>
        <v/>
      </c>
      <c r="W20">
        <f>HYPERLINK("https://klasma.github.io/Logging_1491/kartor/A 61199-2023 karta.png", "A 61199-2023")</f>
        <v/>
      </c>
      <c r="Y20">
        <f>HYPERLINK("https://klasma.github.io/Logging_1491/klagomål/A 61199-2023 FSC-klagomål.docx", "A 61199-2023")</f>
        <v/>
      </c>
      <c r="Z20">
        <f>HYPERLINK("https://klasma.github.io/Logging_1491/klagomålsmail/A 61199-2023 FSC-klagomål mail.docx", "A 61199-2023")</f>
        <v/>
      </c>
      <c r="AA20">
        <f>HYPERLINK("https://klasma.github.io/Logging_1491/tillsyn/A 61199-2023 tillsynsbegäran.docx", "A 61199-2023")</f>
        <v/>
      </c>
      <c r="AB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46221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HYPERLINK("https://klasma.github.io/Logging_1491/artfynd/A 40397-2025 artfynd.xlsx", "A 40397-2025")</f>
        <v/>
      </c>
      <c r="W21">
        <f>HYPERLINK("https://klasma.github.io/Logging_1491/kartor/A 40397-2025 karta.png", "A 40397-2025")</f>
        <v/>
      </c>
      <c r="Y21">
        <f>HYPERLINK("https://klasma.github.io/Logging_1491/klagomål/A 40397-2025 FSC-klagomål.docx", "A 40397-2025")</f>
        <v/>
      </c>
      <c r="Z21">
        <f>HYPERLINK("https://klasma.github.io/Logging_1491/klagomålsmail/A 40397-2025 FSC-klagomål mail.docx", "A 40397-2025")</f>
        <v/>
      </c>
      <c r="AA21">
        <f>HYPERLINK("https://klasma.github.io/Logging_1491/tillsyn/A 40397-2025 tillsynsbegäran.docx", "A 40397-2025")</f>
        <v/>
      </c>
      <c r="AB21">
        <f>HYPERLINK("https://klasma.github.io/Logging_1491/tillsynsmail/A 40397-2025 tillsynsbegäran mail.docx", "A 40397-2025")</f>
        <v/>
      </c>
    </row>
    <row r="22" ht="15" customHeight="1">
      <c r="A22" t="inlineStr">
        <is>
          <t>A 6804-2026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46221</v>
      </c>
      <c r="F22" t="inlineStr">
        <is>
          <t>VÄSTRA GÖTALANDS LÄN</t>
        </is>
      </c>
      <c r="G22" t="inlineStr">
        <is>
          <t>ULRICEHAMN</t>
        </is>
      </c>
      <c r="I22" t="n">
        <v>8.9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Ask</t>
        </is>
      </c>
      <c r="V22">
        <f>HYPERLINK("https://klasma.github.io/Logging_1491/artfynd/A 6804-2026 artfynd.xlsx", "A 6804-2026")</f>
        <v/>
      </c>
      <c r="W22">
        <f>HYPERLINK("https://klasma.github.io/Logging_1491/kartor/A 6804-2026 karta.png", "A 6804-2026")</f>
        <v/>
      </c>
      <c r="Y22">
        <f>HYPERLINK("https://klasma.github.io/Logging_1491/klagomål/A 6804-2026 FSC-klagomål.docx", "A 6804-2026")</f>
        <v/>
      </c>
      <c r="Z22">
        <f>HYPERLINK("https://klasma.github.io/Logging_1491/klagomålsmail/A 6804-2026 FSC-klagomål mail.docx", "A 6804-2026")</f>
        <v/>
      </c>
      <c r="AA22">
        <f>HYPERLINK("https://klasma.github.io/Logging_1491/tillsyn/A 6804-2026 tillsynsbegäran.docx", "A 6804-2026")</f>
        <v/>
      </c>
      <c r="AB22">
        <f>HYPERLINK("https://klasma.github.io/Logging_1491/tillsynsmail/A 6804-2026 tillsynsbegäran mail.docx", "A 6804-2026")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46221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Fällmossa</t>
        </is>
      </c>
      <c r="V23">
        <f>HYPERLINK("https://klasma.github.io/Logging_1491/artfynd/A 51137-2024 artfynd.xlsx", "A 51137-2024")</f>
        <v/>
      </c>
      <c r="W23">
        <f>HYPERLINK("https://klasma.github.io/Logging_1491/kartor/A 51137-2024 karta.png", "A 51137-2024")</f>
        <v/>
      </c>
      <c r="Y23">
        <f>HYPERLINK("https://klasma.github.io/Logging_1491/klagomål/A 51137-2024 FSC-klagomål.docx", "A 51137-2024")</f>
        <v/>
      </c>
      <c r="Z23">
        <f>HYPERLINK("https://klasma.github.io/Logging_1491/klagomålsmail/A 51137-2024 FSC-klagomål mail.docx", "A 51137-2024")</f>
        <v/>
      </c>
      <c r="AA23">
        <f>HYPERLINK("https://klasma.github.io/Logging_1491/tillsyn/A 51137-2024 tillsynsbegäran.docx", "A 51137-2024")</f>
        <v/>
      </c>
      <c r="AB23">
        <f>HYPERLINK("https://klasma.github.io/Logging_1491/tillsynsmail/A 51137-2024 tillsynsbegäran mail.docx", "A 51137-2024")</f>
        <v/>
      </c>
    </row>
    <row r="24" ht="15" customHeight="1">
      <c r="A24" t="inlineStr">
        <is>
          <t>A 7347-2023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44971</v>
      </c>
      <c r="E24" s="1" t="n">
        <v>46221</v>
      </c>
      <c r="F24" t="inlineStr">
        <is>
          <t>VÄSTRA GÖTALANDS LÄN</t>
        </is>
      </c>
      <c r="G24" t="inlineStr">
        <is>
          <t>ULRICEHAMN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Granspira</t>
        </is>
      </c>
      <c r="V24">
        <f>HYPERLINK("https://klasma.github.io/Logging_1491/artfynd/A 7347-2023 artfynd.xlsx", "A 7347-2023")</f>
        <v/>
      </c>
      <c r="W24">
        <f>HYPERLINK("https://klasma.github.io/Logging_1491/kartor/A 7347-2023 karta.png", "A 7347-2023")</f>
        <v/>
      </c>
      <c r="Y24">
        <f>HYPERLINK("https://klasma.github.io/Logging_1491/klagomål/A 7347-2023 FSC-klagomål.docx", "A 7347-2023")</f>
        <v/>
      </c>
      <c r="Z24">
        <f>HYPERLINK("https://klasma.github.io/Logging_1491/klagomålsmail/A 7347-2023 FSC-klagomål mail.docx", "A 7347-2023")</f>
        <v/>
      </c>
      <c r="AA24">
        <f>HYPERLINK("https://klasma.github.io/Logging_1491/tillsyn/A 7347-2023 tillsynsbegäran.docx", "A 7347-2023")</f>
        <v/>
      </c>
      <c r="AB24">
        <f>HYPERLINK("https://klasma.github.io/Logging_1491/tillsynsmail/A 7347-2023 tillsynsbegäran mail.docx", "A 7347-2023")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46221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Rödbrun blekspik</t>
        </is>
      </c>
      <c r="V25">
        <f>HYPERLINK("https://klasma.github.io/Logging_1491/artfynd/A 13082-2024 artfynd.xlsx", "A 13082-2024")</f>
        <v/>
      </c>
      <c r="W25">
        <f>HYPERLINK("https://klasma.github.io/Logging_1491/kartor/A 13082-2024 karta.png", "A 13082-2024")</f>
        <v/>
      </c>
      <c r="Y25">
        <f>HYPERLINK("https://klasma.github.io/Logging_1491/klagomål/A 13082-2024 FSC-klagomål.docx", "A 13082-2024")</f>
        <v/>
      </c>
      <c r="Z25">
        <f>HYPERLINK("https://klasma.github.io/Logging_1491/klagomålsmail/A 13082-2024 FSC-klagomål mail.docx", "A 13082-2024")</f>
        <v/>
      </c>
      <c r="AA25">
        <f>HYPERLINK("https://klasma.github.io/Logging_1491/tillsyn/A 13082-2024 tillsynsbegäran.docx", "A 13082-2024")</f>
        <v/>
      </c>
      <c r="AB25">
        <f>HYPERLINK("https://klasma.github.io/Logging_1491/tillsynsmail/A 13082-2024 tillsynsbegäran mail.docx", "A 13082-2024")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46221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HYPERLINK("https://klasma.github.io/Logging_1491/artfynd/A 37238-2025 artfynd.xlsx", "A 37238-2025")</f>
        <v/>
      </c>
      <c r="W26">
        <f>HYPERLINK("https://klasma.github.io/Logging_1491/kartor/A 37238-2025 karta.png", "A 37238-2025")</f>
        <v/>
      </c>
      <c r="Y26">
        <f>HYPERLINK("https://klasma.github.io/Logging_1491/klagomål/A 37238-2025 FSC-klagomål.docx", "A 37238-2025")</f>
        <v/>
      </c>
      <c r="Z26">
        <f>HYPERLINK("https://klasma.github.io/Logging_1491/klagomålsmail/A 37238-2025 FSC-klagomål mail.docx", "A 37238-2025")</f>
        <v/>
      </c>
      <c r="AA26">
        <f>HYPERLINK("https://klasma.github.io/Logging_1491/tillsyn/A 37238-2025 tillsynsbegäran.docx", "A 37238-2025")</f>
        <v/>
      </c>
      <c r="AB26">
        <f>HYPERLINK("https://klasma.github.io/Logging_1491/tillsynsmail/A 37238-2025 tillsynsbegäran mail.docx", "A 37238-2025")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46221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HYPERLINK("https://klasma.github.io/Logging_1491/artfynd/A 25078-2023 artfynd.xlsx", "A 25078-2023")</f>
        <v/>
      </c>
      <c r="W27">
        <f>HYPERLINK("https://klasma.github.io/Logging_1491/kartor/A 25078-2023 karta.png", "A 25078-2023")</f>
        <v/>
      </c>
      <c r="Y27">
        <f>HYPERLINK("https://klasma.github.io/Logging_1491/klagomål/A 25078-2023 FSC-klagomål.docx", "A 25078-2023")</f>
        <v/>
      </c>
      <c r="Z27">
        <f>HYPERLINK("https://klasma.github.io/Logging_1491/klagomålsmail/A 25078-2023 FSC-klagomål mail.docx", "A 25078-2023")</f>
        <v/>
      </c>
      <c r="AA27">
        <f>HYPERLINK("https://klasma.github.io/Logging_1491/tillsyn/A 25078-2023 tillsynsbegäran.docx", "A 25078-2023")</f>
        <v/>
      </c>
      <c r="AB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46221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s="2" t="inlineStr">
        <is>
          <t>Ask</t>
        </is>
      </c>
      <c r="V28">
        <f>HYPERLINK("https://klasma.github.io/Logging_1491/artfynd/A 61199-2023 artfynd.xlsx", "A 61199-2023")</f>
        <v/>
      </c>
      <c r="W28">
        <f>HYPERLINK("https://klasma.github.io/Logging_1491/kartor/A 61199-2023 karta.png", "A 61199-2023")</f>
        <v/>
      </c>
      <c r="Y28">
        <f>HYPERLINK("https://klasma.github.io/Logging_1491/klagomål/A 61199-2023 FSC-klagomål.docx", "A 61199-2023")</f>
        <v/>
      </c>
      <c r="Z28">
        <f>HYPERLINK("https://klasma.github.io/Logging_1491/klagomålsmail/A 61199-2023 FSC-klagomål mail.docx", "A 61199-2023")</f>
        <v/>
      </c>
      <c r="AA28">
        <f>HYPERLINK("https://klasma.github.io/Logging_1491/tillsyn/A 61199-2023 tillsynsbegäran.docx", "A 61199-2023")</f>
        <v/>
      </c>
      <c r="AB28">
        <f>HYPERLINK("https://klasma.github.io/Logging_1491/tillsynsmail/A 61199-2023 tillsynsbegäran mail.docx", "A 61199-2023")</f>
        <v/>
      </c>
    </row>
    <row r="29" ht="15" customHeight="1">
      <c r="A29" t="inlineStr">
        <is>
          <t>A 9906-2026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46221</v>
      </c>
      <c r="F29" t="inlineStr">
        <is>
          <t>VÄSTRA GÖTALANDS LÄN</t>
        </is>
      </c>
      <c r="G29" t="inlineStr">
        <is>
          <t>ULRICEHAMN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Tjäder</t>
        </is>
      </c>
      <c r="V29">
        <f>HYPERLINK("https://klasma.github.io/Logging_1491/artfynd/A 9906-2026 artfynd.xlsx", "A 9906-2026")</f>
        <v/>
      </c>
      <c r="W29">
        <f>HYPERLINK("https://klasma.github.io/Logging_1491/kartor/A 9906-2026 karta.png", "A 9906-2026")</f>
        <v/>
      </c>
      <c r="Y29">
        <f>HYPERLINK("https://klasma.github.io/Logging_1491/klagomål/A 9906-2026 FSC-klagomål.docx", "A 9906-2026")</f>
        <v/>
      </c>
      <c r="Z29">
        <f>HYPERLINK("https://klasma.github.io/Logging_1491/klagomålsmail/A 9906-2026 FSC-klagomål mail.docx", "A 9906-2026")</f>
        <v/>
      </c>
      <c r="AA29">
        <f>HYPERLINK("https://klasma.github.io/Logging_1491/tillsyn/A 9906-2026 tillsynsbegäran.docx", "A 9906-2026")</f>
        <v/>
      </c>
      <c r="AB29">
        <f>HYPERLINK("https://klasma.github.io/Logging_1491/tillsynsmail/A 9906-2026 tillsynsbegäran mail.docx", "A 9906-2026")</f>
        <v/>
      </c>
      <c r="AC29">
        <f>HYPERLINK("https://klasma.github.io/Logging_1491/fåglar/A 9906-2026 prioriterade fågelarter.docx", "A 9906-2026")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46221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Hasselmus</t>
        </is>
      </c>
      <c r="V30">
        <f>HYPERLINK("https://klasma.github.io/Logging_1491/artfynd/A 531-2024 artfynd.xlsx", "A 531-2024")</f>
        <v/>
      </c>
      <c r="W30">
        <f>HYPERLINK("https://klasma.github.io/Logging_1491/kartor/A 531-2024 karta.png", "A 531-2024")</f>
        <v/>
      </c>
      <c r="Y30">
        <f>HYPERLINK("https://klasma.github.io/Logging_1491/klagomål/A 531-2024 FSC-klagomål.docx", "A 531-2024")</f>
        <v/>
      </c>
      <c r="Z30">
        <f>HYPERLINK("https://klasma.github.io/Logging_1491/klagomålsmail/A 531-2024 FSC-klagomål mail.docx", "A 531-2024")</f>
        <v/>
      </c>
      <c r="AA30">
        <f>HYPERLINK("https://klasma.github.io/Logging_1491/tillsyn/A 531-2024 tillsynsbegäran.docx", "A 531-2024")</f>
        <v/>
      </c>
      <c r="AB30">
        <f>HYPERLINK("https://klasma.github.io/Logging_1491/tillsynsmail/A 531-2024 tillsynsbegäran mail.docx", "A 531-2024")</f>
        <v/>
      </c>
    </row>
    <row r="31" ht="15" customHeight="1">
      <c r="A31" t="inlineStr">
        <is>
          <t>A 41005-2021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46221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Desmeknopp</t>
        </is>
      </c>
      <c r="V31">
        <f>HYPERLINK("https://klasma.github.io/Logging_1491/artfynd/A 41005-2021 artfynd.xlsx", "A 41005-2021")</f>
        <v/>
      </c>
      <c r="W31">
        <f>HYPERLINK("https://klasma.github.io/Logging_1491/kartor/A 41005-2021 karta.png", "A 41005-2021")</f>
        <v/>
      </c>
      <c r="Y31">
        <f>HYPERLINK("https://klasma.github.io/Logging_1491/klagomål/A 41005-2021 FSC-klagomål.docx", "A 41005-2021")</f>
        <v/>
      </c>
      <c r="Z31">
        <f>HYPERLINK("https://klasma.github.io/Logging_1491/klagomålsmail/A 41005-2021 FSC-klagomål mail.docx", "A 41005-2021")</f>
        <v/>
      </c>
      <c r="AA31">
        <f>HYPERLINK("https://klasma.github.io/Logging_1491/tillsyn/A 41005-2021 tillsynsbegäran.docx", "A 41005-2021")</f>
        <v/>
      </c>
      <c r="AB31">
        <f>HYPERLINK("https://klasma.github.io/Logging_1491/tillsynsmail/A 41005-2021 tillsynsbegäran mail.docx", "A 41005-2021")</f>
        <v/>
      </c>
    </row>
    <row r="32" ht="15" customHeight="1">
      <c r="A32" t="inlineStr">
        <is>
          <t>A 13789-2026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46221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Sveaskog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HYPERLINK("https://klasma.github.io/Logging_1491/artfynd/A 13789-2026 artfynd.xlsx", "A 13789-2026")</f>
        <v/>
      </c>
      <c r="W32">
        <f>HYPERLINK("https://klasma.github.io/Logging_1491/kartor/A 13789-2026 karta.png", "A 13789-2026")</f>
        <v/>
      </c>
      <c r="Y32">
        <f>HYPERLINK("https://klasma.github.io/Logging_1491/klagomål/A 13789-2026 FSC-klagomål.docx", "A 13789-2026")</f>
        <v/>
      </c>
      <c r="Z32">
        <f>HYPERLINK("https://klasma.github.io/Logging_1491/klagomålsmail/A 13789-2026 FSC-klagomål mail.docx", "A 13789-2026")</f>
        <v/>
      </c>
      <c r="AA32">
        <f>HYPERLINK("https://klasma.github.io/Logging_1491/tillsyn/A 13789-2026 tillsynsbegäran.docx", "A 13789-2026")</f>
        <v/>
      </c>
      <c r="AB32">
        <f>HYPERLINK("https://klasma.github.io/Logging_1491/tillsynsmail/A 13789-2026 tillsynsbegäran mail.docx", "A 13789-2026")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46221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Slåttergubbe</t>
        </is>
      </c>
      <c r="V33">
        <f>HYPERLINK("https://klasma.github.io/Logging_1491/artfynd/A 61536-2025 artfynd.xlsx", "A 61536-2025")</f>
        <v/>
      </c>
      <c r="W33">
        <f>HYPERLINK("https://klasma.github.io/Logging_1491/kartor/A 61536-2025 karta.png", "A 61536-2025")</f>
        <v/>
      </c>
      <c r="Y33">
        <f>HYPERLINK("https://klasma.github.io/Logging_1491/klagomål/A 61536-2025 FSC-klagomål.docx", "A 61536-2025")</f>
        <v/>
      </c>
      <c r="Z33">
        <f>HYPERLINK("https://klasma.github.io/Logging_1491/klagomålsmail/A 61536-2025 FSC-klagomål mail.docx", "A 61536-2025")</f>
        <v/>
      </c>
      <c r="AA33">
        <f>HYPERLINK("https://klasma.github.io/Logging_1491/tillsyn/A 61536-2025 tillsynsbegäran.docx", "A 61536-2025")</f>
        <v/>
      </c>
      <c r="AB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46221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HYPERLINK("https://klasma.github.io/Logging_1491/artfynd/A 62032-2025 artfynd.xlsx", "A 62032-2025")</f>
        <v/>
      </c>
      <c r="W34">
        <f>HYPERLINK("https://klasma.github.io/Logging_1491/kartor/A 62032-2025 karta.png", "A 62032-2025")</f>
        <v/>
      </c>
      <c r="Y34">
        <f>HYPERLINK("https://klasma.github.io/Logging_1491/klagomål/A 62032-2025 FSC-klagomål.docx", "A 62032-2025")</f>
        <v/>
      </c>
      <c r="Z34">
        <f>HYPERLINK("https://klasma.github.io/Logging_1491/klagomålsmail/A 62032-2025 FSC-klagomål mail.docx", "A 62032-2025")</f>
        <v/>
      </c>
      <c r="AA34">
        <f>HYPERLINK("https://klasma.github.io/Logging_1491/tillsyn/A 62032-2025 tillsynsbegäran.docx", "A 62032-2025")</f>
        <v/>
      </c>
      <c r="AB34">
        <f>HYPERLINK("https://klasma.github.io/Logging_1491/tillsynsmail/A 62032-2025 tillsynsbegäran mail.docx", "A 62032-2025")</f>
        <v/>
      </c>
    </row>
    <row r="35" ht="15" customHeight="1">
      <c r="A35" t="inlineStr">
        <is>
          <t>A 8055-2024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45351</v>
      </c>
      <c r="E35" s="1" t="n">
        <v>46221</v>
      </c>
      <c r="F35" t="inlineStr">
        <is>
          <t>VÄSTRA GÖTALANDS LÄN</t>
        </is>
      </c>
      <c r="G35" t="inlineStr">
        <is>
          <t>ULRICEHAMN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Hasselmus</t>
        </is>
      </c>
      <c r="V35">
        <f>HYPERLINK("https://klasma.github.io/Logging_1491/artfynd/A 8055-2024 artfynd.xlsx", "A 8055-2024")</f>
        <v/>
      </c>
      <c r="W35">
        <f>HYPERLINK("https://klasma.github.io/Logging_1491/kartor/A 8055-2024 karta.png", "A 8055-2024")</f>
        <v/>
      </c>
      <c r="Y35">
        <f>HYPERLINK("https://klasma.github.io/Logging_1491/klagomål/A 8055-2024 FSC-klagomål.docx", "A 8055-2024")</f>
        <v/>
      </c>
      <c r="Z35">
        <f>HYPERLINK("https://klasma.github.io/Logging_1491/klagomålsmail/A 8055-2024 FSC-klagomål mail.docx", "A 8055-2024")</f>
        <v/>
      </c>
      <c r="AA35">
        <f>HYPERLINK("https://klasma.github.io/Logging_1491/tillsyn/A 8055-2024 tillsynsbegäran.docx", "A 8055-2024")</f>
        <v/>
      </c>
      <c r="AB35">
        <f>HYPERLINK("https://klasma.github.io/Logging_1491/tillsynsmail/A 8055-2024 tillsynsbegäran mail.docx", "A 8055-2024")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46221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Hässleklocka</t>
        </is>
      </c>
      <c r="V36">
        <f>HYPERLINK("https://klasma.github.io/Logging_1491/artfynd/A 16158-2026 artfynd.xlsx", "A 16158-2026")</f>
        <v/>
      </c>
      <c r="W36">
        <f>HYPERLINK("https://klasma.github.io/Logging_1491/kartor/A 16158-2026 karta.png", "A 16158-2026")</f>
        <v/>
      </c>
      <c r="Y36">
        <f>HYPERLINK("https://klasma.github.io/Logging_1491/klagomål/A 16158-2026 FSC-klagomål.docx", "A 16158-2026")</f>
        <v/>
      </c>
      <c r="Z36">
        <f>HYPERLINK("https://klasma.github.io/Logging_1491/klagomålsmail/A 16158-2026 FSC-klagomål mail.docx", "A 16158-2026")</f>
        <v/>
      </c>
      <c r="AA36">
        <f>HYPERLINK("https://klasma.github.io/Logging_1491/tillsyn/A 16158-2026 tillsynsbegäran.docx", "A 16158-2026")</f>
        <v/>
      </c>
      <c r="AB36">
        <f>HYPERLINK("https://klasma.github.io/Logging_1491/tillsynsmail/A 16158-2026 tillsynsbegäran mail.docx", "A 16158-2026")</f>
        <v/>
      </c>
    </row>
    <row r="37" ht="15" customHeight="1">
      <c r="A37" t="inlineStr">
        <is>
          <t>A 17990-2026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46124</v>
      </c>
      <c r="E37" s="1" t="n">
        <v>46221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Hasselmus</t>
        </is>
      </c>
      <c r="V37">
        <f>HYPERLINK("https://klasma.github.io/Logging_1491/artfynd/A 17990-2026 artfynd.xlsx", "A 17990-2026")</f>
        <v/>
      </c>
      <c r="W37">
        <f>HYPERLINK("https://klasma.github.io/Logging_1491/kartor/A 17990-2026 karta.png", "A 17990-2026")</f>
        <v/>
      </c>
      <c r="Y37">
        <f>HYPERLINK("https://klasma.github.io/Logging_1491/klagomål/A 17990-2026 FSC-klagomål.docx", "A 17990-2026")</f>
        <v/>
      </c>
      <c r="Z37">
        <f>HYPERLINK("https://klasma.github.io/Logging_1491/klagomålsmail/A 17990-2026 FSC-klagomål mail.docx", "A 17990-2026")</f>
        <v/>
      </c>
      <c r="AA37">
        <f>HYPERLINK("https://klasma.github.io/Logging_1491/tillsyn/A 17990-2026 tillsynsbegäran.docx", "A 17990-2026")</f>
        <v/>
      </c>
      <c r="AB37">
        <f>HYPERLINK("https://klasma.github.io/Logging_1491/tillsynsmail/A 17990-2026 tillsynsbegäran mail.docx", "A 17990-2026")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46221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HYPERLINK("https://klasma.github.io/Logging_1491/artfynd/A 73932-2021 artfynd.xlsx", "A 73932-2021")</f>
        <v/>
      </c>
      <c r="W38">
        <f>HYPERLINK("https://klasma.github.io/Logging_1491/kartor/A 73932-2021 karta.png", "A 73932-2021")</f>
        <v/>
      </c>
      <c r="Y38">
        <f>HYPERLINK("https://klasma.github.io/Logging_1491/klagomål/A 73932-2021 FSC-klagomål.docx", "A 73932-2021")</f>
        <v/>
      </c>
      <c r="Z38">
        <f>HYPERLINK("https://klasma.github.io/Logging_1491/klagomålsmail/A 73932-2021 FSC-klagomål mail.docx", "A 73932-2021")</f>
        <v/>
      </c>
      <c r="AA38">
        <f>HYPERLINK("https://klasma.github.io/Logging_1491/tillsyn/A 73932-2021 tillsynsbegäran.docx", "A 73932-2021")</f>
        <v/>
      </c>
      <c r="AB38">
        <f>HYPERLINK("https://klasma.github.io/Logging_1491/tillsynsmail/A 73932-2021 tillsynsbegäran mail.docx", "A 73932-2021")</f>
        <v/>
      </c>
    </row>
    <row r="39" ht="15" customHeight="1">
      <c r="A39" t="inlineStr">
        <is>
          <t>A 54903-2023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46221</v>
      </c>
      <c r="F39" t="inlineStr">
        <is>
          <t>VÄSTRA GÖTALANDS LÄN</t>
        </is>
      </c>
      <c r="G39" t="inlineStr">
        <is>
          <t>ULRICEHAMN</t>
        </is>
      </c>
      <c r="I39" t="n">
        <v>6.4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Trubbdaggkåpa</t>
        </is>
      </c>
      <c r="V39">
        <f>HYPERLINK("https://klasma.github.io/Logging_1491/artfynd/A 54903-2023 artfynd.xlsx", "A 54903-2023")</f>
        <v/>
      </c>
      <c r="W39">
        <f>HYPERLINK("https://klasma.github.io/Logging_1491/kartor/A 54903-2023 karta.png", "A 54903-2023")</f>
        <v/>
      </c>
      <c r="Y39">
        <f>HYPERLINK("https://klasma.github.io/Logging_1491/klagomål/A 54903-2023 FSC-klagomål.docx", "A 54903-2023")</f>
        <v/>
      </c>
      <c r="Z39">
        <f>HYPERLINK("https://klasma.github.io/Logging_1491/klagomålsmail/A 54903-2023 FSC-klagomål mail.docx", "A 54903-2023")</f>
        <v/>
      </c>
      <c r="AA39">
        <f>HYPERLINK("https://klasma.github.io/Logging_1491/tillsyn/A 54903-2023 tillsynsbegäran.docx", "A 54903-2023")</f>
        <v/>
      </c>
      <c r="AB39">
        <f>HYPERLINK("https://klasma.github.io/Logging_1491/tillsynsmail/A 54903-2023 tillsynsbegäran mail.docx", "A 54903-2023")</f>
        <v/>
      </c>
    </row>
    <row r="40" ht="15" customHeight="1">
      <c r="A40" t="inlineStr">
        <is>
          <t>A 51158-2024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46221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Kommuner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Skogsödla</t>
        </is>
      </c>
      <c r="V40">
        <f>HYPERLINK("https://klasma.github.io/Logging_1491/artfynd/A 51158-2024 artfynd.xlsx", "A 51158-2024")</f>
        <v/>
      </c>
      <c r="W40">
        <f>HYPERLINK("https://klasma.github.io/Logging_1491/kartor/A 51158-2024 karta.png", "A 51158-2024")</f>
        <v/>
      </c>
      <c r="Y40">
        <f>HYPERLINK("https://klasma.github.io/Logging_1491/klagomål/A 51158-2024 FSC-klagomål.docx", "A 51158-2024")</f>
        <v/>
      </c>
      <c r="Z40">
        <f>HYPERLINK("https://klasma.github.io/Logging_1491/klagomålsmail/A 51158-2024 FSC-klagomål mail.docx", "A 51158-2024")</f>
        <v/>
      </c>
      <c r="AA40">
        <f>HYPERLINK("https://klasma.github.io/Logging_1491/tillsyn/A 51158-2024 tillsynsbegäran.docx", "A 51158-2024")</f>
        <v/>
      </c>
      <c r="AB40">
        <f>HYPERLINK("https://klasma.github.io/Logging_1491/tillsynsmail/A 51158-2024 tillsynsbegäran mail.docx", "A 51158-2024")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46221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Gulvaxing</t>
        </is>
      </c>
      <c r="V41">
        <f>HYPERLINK("https://klasma.github.io/Logging_1491/artfynd/A 33885-2023 artfynd.xlsx", "A 33885-2023")</f>
        <v/>
      </c>
      <c r="W41">
        <f>HYPERLINK("https://klasma.github.io/Logging_1491/kartor/A 33885-2023 karta.png", "A 33885-2023")</f>
        <v/>
      </c>
      <c r="Y41">
        <f>HYPERLINK("https://klasma.github.io/Logging_1491/klagomål/A 33885-2023 FSC-klagomål.docx", "A 33885-2023")</f>
        <v/>
      </c>
      <c r="Z41">
        <f>HYPERLINK("https://klasma.github.io/Logging_1491/klagomålsmail/A 33885-2023 FSC-klagomål mail.docx", "A 33885-2023")</f>
        <v/>
      </c>
      <c r="AA41">
        <f>HYPERLINK("https://klasma.github.io/Logging_1491/tillsyn/A 33885-2023 tillsynsbegäran.docx", "A 33885-2023")</f>
        <v/>
      </c>
      <c r="AB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45675</v>
      </c>
      <c r="E42" s="1" t="n">
        <v>46221</v>
      </c>
      <c r="F42" t="inlineStr">
        <is>
          <t>VÄSTRA GÖTALANDS LÄN</t>
        </is>
      </c>
      <c r="G42" t="inlineStr">
        <is>
          <t>ULRICEHAMN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Flodpärlmussla</t>
        </is>
      </c>
      <c r="V42">
        <f>HYPERLINK("https://klasma.github.io/Logging_1491/artfynd/A 2626-2025 artfynd.xlsx", "A 2626-2025")</f>
        <v/>
      </c>
      <c r="W42">
        <f>HYPERLINK("https://klasma.github.io/Logging_1491/kartor/A 2626-2025 karta.png", "A 2626-2025")</f>
        <v/>
      </c>
      <c r="Y42">
        <f>HYPERLINK("https://klasma.github.io/Logging_1491/klagomål/A 2626-2025 FSC-klagomål.docx", "A 2626-2025")</f>
        <v/>
      </c>
      <c r="Z42">
        <f>HYPERLINK("https://klasma.github.io/Logging_1491/klagomålsmail/A 2626-2025 FSC-klagomål mail.docx", "A 2626-2025")</f>
        <v/>
      </c>
      <c r="AA42">
        <f>HYPERLINK("https://klasma.github.io/Logging_1491/tillsyn/A 2626-2025 tillsynsbegäran.docx", "A 2626-2025")</f>
        <v/>
      </c>
      <c r="AB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46221</v>
      </c>
      <c r="F43" t="inlineStr">
        <is>
          <t>VÄSTRA GÖTALANDS LÄN</t>
        </is>
      </c>
      <c r="G43" t="inlineStr">
        <is>
          <t>ULRICEHAMN</t>
        </is>
      </c>
      <c r="I43" t="n">
        <v>17.3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Plattlummer</t>
        </is>
      </c>
      <c r="V43">
        <f>HYPERLINK("https://klasma.github.io/Logging_1491/artfynd/A 64810-2021 artfynd.xlsx", "A 64810-2021")</f>
        <v/>
      </c>
      <c r="W43">
        <f>HYPERLINK("https://klasma.github.io/Logging_1491/kartor/A 64810-2021 karta.png", "A 64810-2021")</f>
        <v/>
      </c>
      <c r="Y43">
        <f>HYPERLINK("https://klasma.github.io/Logging_1491/klagomål/A 64810-2021 FSC-klagomål.docx", "A 64810-2021")</f>
        <v/>
      </c>
      <c r="Z43">
        <f>HYPERLINK("https://klasma.github.io/Logging_1491/klagomålsmail/A 64810-2021 FSC-klagomål mail.docx", "A 64810-2021")</f>
        <v/>
      </c>
      <c r="AA43">
        <f>HYPERLINK("https://klasma.github.io/Logging_1491/tillsyn/A 64810-2021 tillsynsbegäran.docx", "A 64810-2021")</f>
        <v/>
      </c>
      <c r="AB43">
        <f>HYPERLINK("https://klasma.github.io/Logging_1491/tillsynsmail/A 64810-2021 tillsynsbegäran mail.docx", "A 64810-2021")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46221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HYPERLINK("https://klasma.github.io/Logging_1491/artfynd/A 43241-2024 artfynd.xlsx", "A 43241-2024")</f>
        <v/>
      </c>
      <c r="W44">
        <f>HYPERLINK("https://klasma.github.io/Logging_1491/kartor/A 43241-2024 karta.png", "A 43241-2024")</f>
        <v/>
      </c>
      <c r="Y44">
        <f>HYPERLINK("https://klasma.github.io/Logging_1491/klagomål/A 43241-2024 FSC-klagomål.docx", "A 43241-2024")</f>
        <v/>
      </c>
      <c r="Z44">
        <f>HYPERLINK("https://klasma.github.io/Logging_1491/klagomålsmail/A 43241-2024 FSC-klagomål mail.docx", "A 43241-2024")</f>
        <v/>
      </c>
      <c r="AA44">
        <f>HYPERLINK("https://klasma.github.io/Logging_1491/tillsyn/A 43241-2024 tillsynsbegäran.docx", "A 43241-2024")</f>
        <v/>
      </c>
      <c r="AB44">
        <f>HYPERLINK("https://klasma.github.io/Logging_1491/tillsynsmail/A 43241-2024 tillsynsbegäran mail.docx", "A 43241-2024")</f>
        <v/>
      </c>
    </row>
    <row r="45" ht="15" customHeight="1">
      <c r="A45" t="inlineStr">
        <is>
          <t>A 30954-2022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46221</v>
      </c>
      <c r="F45" t="inlineStr">
        <is>
          <t>VÄSTRA GÖTALANDS LÄN</t>
        </is>
      </c>
      <c r="G45" t="inlineStr">
        <is>
          <t>ULRICEHAMN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HYPERLINK("https://klasma.github.io/Logging_1491/artfynd/A 30954-2022 artfynd.xlsx", "A 30954-2022")</f>
        <v/>
      </c>
      <c r="W45">
        <f>HYPERLINK("https://klasma.github.io/Logging_1491/kartor/A 30954-2022 karta.png", "A 30954-2022")</f>
        <v/>
      </c>
      <c r="Y45">
        <f>HYPERLINK("https://klasma.github.io/Logging_1491/klagomål/A 30954-2022 FSC-klagomål.docx", "A 30954-2022")</f>
        <v/>
      </c>
      <c r="Z45">
        <f>HYPERLINK("https://klasma.github.io/Logging_1491/klagomålsmail/A 30954-2022 FSC-klagomål mail.docx", "A 30954-2022")</f>
        <v/>
      </c>
      <c r="AA45">
        <f>HYPERLINK("https://klasma.github.io/Logging_1491/tillsyn/A 30954-2022 tillsynsbegäran.docx", "A 30954-2022")</f>
        <v/>
      </c>
      <c r="AB45">
        <f>HYPERLINK("https://klasma.github.io/Logging_1491/tillsynsmail/A 30954-2022 tillsynsbegäran mail.docx", "A 30954-2022")</f>
        <v/>
      </c>
      <c r="AC45">
        <f>HYPERLINK("https://klasma.github.io/Logging_1491/fåglar/A 30954-2022 prioriterade fågelarter.docx", "A 30954-2022")</f>
        <v/>
      </c>
    </row>
    <row r="46" ht="15" customHeight="1">
      <c r="A46" t="inlineStr">
        <is>
          <t>A 55007-2024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45621</v>
      </c>
      <c r="E46" s="1" t="n">
        <v>46221</v>
      </c>
      <c r="F46" t="inlineStr">
        <is>
          <t>VÄSTRA GÖTALANDS LÄN</t>
        </is>
      </c>
      <c r="G46" t="inlineStr">
        <is>
          <t>ULRICEHAMN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Gullpudra</t>
        </is>
      </c>
      <c r="V46">
        <f>HYPERLINK("https://klasma.github.io/Logging_1491/artfynd/A 55007-2024 artfynd.xlsx", "A 55007-2024")</f>
        <v/>
      </c>
      <c r="W46">
        <f>HYPERLINK("https://klasma.github.io/Logging_1491/kartor/A 55007-2024 karta.png", "A 55007-2024")</f>
        <v/>
      </c>
      <c r="Y46">
        <f>HYPERLINK("https://klasma.github.io/Logging_1491/klagomål/A 55007-2024 FSC-klagomål.docx", "A 55007-2024")</f>
        <v/>
      </c>
      <c r="Z46">
        <f>HYPERLINK("https://klasma.github.io/Logging_1491/klagomålsmail/A 55007-2024 FSC-klagomål mail.docx", "A 55007-2024")</f>
        <v/>
      </c>
      <c r="AA46">
        <f>HYPERLINK("https://klasma.github.io/Logging_1491/tillsyn/A 55007-2024 tillsynsbegäran.docx", "A 55007-2024")</f>
        <v/>
      </c>
      <c r="AB46">
        <f>HYPERLINK("https://klasma.github.io/Logging_1491/tillsynsmail/A 55007-2024 tillsynsbegäran mail.docx", "A 55007-2024")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46221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groda</t>
        </is>
      </c>
      <c r="V47">
        <f>HYPERLINK("https://klasma.github.io/Logging_1491/artfynd/A 31199-2026 artfynd.xlsx", "A 31199-2026")</f>
        <v/>
      </c>
      <c r="W47">
        <f>HYPERLINK("https://klasma.github.io/Logging_1491/kartor/A 31199-2026 karta.png", "A 31199-2026")</f>
        <v/>
      </c>
      <c r="Y47">
        <f>HYPERLINK("https://klasma.github.io/Logging_1491/klagomål/A 31199-2026 FSC-klagomål.docx", "A 31199-2026")</f>
        <v/>
      </c>
      <c r="Z47">
        <f>HYPERLINK("https://klasma.github.io/Logging_1491/klagomålsmail/A 31199-2026 FSC-klagomål mail.docx", "A 31199-2026")</f>
        <v/>
      </c>
      <c r="AA47">
        <f>HYPERLINK("https://klasma.github.io/Logging_1491/tillsyn/A 31199-2026 tillsynsbegäran.docx", "A 31199-2026")</f>
        <v/>
      </c>
      <c r="AB47">
        <f>HYPERLINK("https://klasma.github.io/Logging_1491/tillsynsmail/A 31199-2026 tillsynsbegäran mail.docx", "A 31199-2026")</f>
        <v/>
      </c>
    </row>
    <row r="48" ht="15" customHeight="1">
      <c r="A48" t="inlineStr">
        <is>
          <t>A 55419-2023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46221</v>
      </c>
      <c r="F48" t="inlineStr">
        <is>
          <t>VÄSTRA GÖTALANDS LÄN</t>
        </is>
      </c>
      <c r="G48" t="inlineStr">
        <is>
          <t>ULRICEHAMN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Tjäder</t>
        </is>
      </c>
      <c r="V48">
        <f>HYPERLINK("https://klasma.github.io/Logging_1491/artfynd/A 55419-2023 artfynd.xlsx", "A 55419-2023")</f>
        <v/>
      </c>
      <c r="W48">
        <f>HYPERLINK("https://klasma.github.io/Logging_1491/kartor/A 55419-2023 karta.png", "A 55419-2023")</f>
        <v/>
      </c>
      <c r="Y48">
        <f>HYPERLINK("https://klasma.github.io/Logging_1491/klagomål/A 55419-2023 FSC-klagomål.docx", "A 55419-2023")</f>
        <v/>
      </c>
      <c r="Z48">
        <f>HYPERLINK("https://klasma.github.io/Logging_1491/klagomålsmail/A 55419-2023 FSC-klagomål mail.docx", "A 55419-2023")</f>
        <v/>
      </c>
      <c r="AA48">
        <f>HYPERLINK("https://klasma.github.io/Logging_1491/tillsyn/A 55419-2023 tillsynsbegäran.docx", "A 55419-2023")</f>
        <v/>
      </c>
      <c r="AB48">
        <f>HYPERLINK("https://klasma.github.io/Logging_1491/tillsynsmail/A 55419-2023 tillsynsbegäran mail.docx", "A 55419-2023")</f>
        <v/>
      </c>
      <c r="AC48">
        <f>HYPERLINK("https://klasma.github.io/Logging_1491/fåglar/A 55419-2023 prioriterade fågelarter.docx", "A 55419-2023")</f>
        <v/>
      </c>
    </row>
    <row r="49" ht="15" customHeight="1">
      <c r="A49" t="inlineStr">
        <is>
          <t>A 21290-2025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45779</v>
      </c>
      <c r="E49" s="1" t="n">
        <v>46221</v>
      </c>
      <c r="F49" t="inlineStr">
        <is>
          <t>VÄSTRA GÖTALANDS LÄN</t>
        </is>
      </c>
      <c r="G49" t="inlineStr">
        <is>
          <t>ULRICEHAMN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Fällmossa</t>
        </is>
      </c>
      <c r="V49">
        <f>HYPERLINK("https://klasma.github.io/Logging_1491/artfynd/A 21290-2025 artfynd.xlsx", "A 21290-2025")</f>
        <v/>
      </c>
      <c r="W49">
        <f>HYPERLINK("https://klasma.github.io/Logging_1491/kartor/A 21290-2025 karta.png", "A 21290-2025")</f>
        <v/>
      </c>
      <c r="Y49">
        <f>HYPERLINK("https://klasma.github.io/Logging_1491/klagomål/A 21290-2025 FSC-klagomål.docx", "A 21290-2025")</f>
        <v/>
      </c>
      <c r="Z49">
        <f>HYPERLINK("https://klasma.github.io/Logging_1491/klagomålsmail/A 21290-2025 FSC-klagomål mail.docx", "A 21290-2025")</f>
        <v/>
      </c>
      <c r="AA49">
        <f>HYPERLINK("https://klasma.github.io/Logging_1491/tillsyn/A 21290-2025 tillsynsbegäran.docx", "A 21290-2025")</f>
        <v/>
      </c>
      <c r="AB49">
        <f>HYPERLINK("https://klasma.github.io/Logging_1491/tillsynsmail/A 21290-2025 tillsynsbegäran mail.docx", "A 21290-2025")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46221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Y50">
        <f>HYPERLINK("https://klasma.github.io/Logging_1491/klagomål/S 8633-2021 FSC-klagomål.docx", "S 8633-2021")</f>
        <v/>
      </c>
      <c r="Z50">
        <f>HYPERLINK("https://klasma.github.io/Logging_1491/klagomålsmail/S 8633-2021 FSC-klagomål mail.docx", "S 8633-2021")</f>
        <v/>
      </c>
      <c r="AA50">
        <f>HYPERLINK("https://klasma.github.io/Logging_1491/tillsyn/S 8633-2021 tillsynsbegäran.docx", "S 8633-2021")</f>
        <v/>
      </c>
      <c r="AB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46221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Y51">
        <f>HYPERLINK("https://klasma.github.io/Logging_1491/klagomål/S 591-2024 FSC-klagomål.docx", "S 591-2024")</f>
        <v/>
      </c>
      <c r="Z51">
        <f>HYPERLINK("https://klasma.github.io/Logging_1491/klagomålsmail/S 591-2024 FSC-klagomål mail.docx", "S 591-2024")</f>
        <v/>
      </c>
      <c r="AA51">
        <f>HYPERLINK("https://klasma.github.io/Logging_1491/tillsyn/S 591-2024 tillsynsbegäran.docx", "S 591-2024")</f>
        <v/>
      </c>
      <c r="AB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46221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46221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46221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46221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46221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46221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46221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46221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64794-2021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44512</v>
      </c>
      <c r="E60" s="1" t="n">
        <v>46221</v>
      </c>
      <c r="F60" t="inlineStr">
        <is>
          <t>VÄSTRA GÖTALANDS LÄN</t>
        </is>
      </c>
      <c r="G60" t="inlineStr">
        <is>
          <t>ULRICEHAMN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46221</v>
      </c>
      <c r="F61" t="inlineStr">
        <is>
          <t>VÄSTRA GÖTALANDS LÄN</t>
        </is>
      </c>
      <c r="G61" t="inlineStr">
        <is>
          <t>ULRICEHAMN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46221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46221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46221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46221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46221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46221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46221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46221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46221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46221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46221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46221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46221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46221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44713</v>
      </c>
      <c r="E76" s="1" t="n">
        <v>46221</v>
      </c>
      <c r="F76" t="inlineStr">
        <is>
          <t>VÄSTRA GÖTALANDS LÄN</t>
        </is>
      </c>
      <c r="G76" t="inlineStr">
        <is>
          <t>ULRICEHAMN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46221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46221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46221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46221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46221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46221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46221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46221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46221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46221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46221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46221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46221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46221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46221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46221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46221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46221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46221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46221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46221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46221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46221</v>
      </c>
      <c r="F99" t="inlineStr">
        <is>
          <t>VÄSTRA GÖTALANDS LÄN</t>
        </is>
      </c>
      <c r="G99" t="inlineStr">
        <is>
          <t>ULRICEHAMN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46221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51293-2022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46221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46221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46221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46221</v>
      </c>
      <c r="F104" t="inlineStr">
        <is>
          <t>VÄSTRA GÖTALANDS LÄN</t>
        </is>
      </c>
      <c r="G104" t="inlineStr">
        <is>
          <t>ULRICEHAMN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47605-2021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44448</v>
      </c>
      <c r="E105" s="1" t="n">
        <v>46221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9953-2022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46221</v>
      </c>
      <c r="F106" t="inlineStr">
        <is>
          <t>VÄSTRA GÖTALANDS LÄN</t>
        </is>
      </c>
      <c r="G106" t="inlineStr">
        <is>
          <t>ULRICEHAMN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37893-2021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44403</v>
      </c>
      <c r="E107" s="1" t="n">
        <v>46221</v>
      </c>
      <c r="F107" t="inlineStr">
        <is>
          <t>VÄSTRA GÖTALANDS LÄN</t>
        </is>
      </c>
      <c r="G107" t="inlineStr">
        <is>
          <t>ULRICEHAMN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67657-2021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46221</v>
      </c>
      <c r="F108" t="inlineStr">
        <is>
          <t>VÄSTRA GÖTALANDS LÄN</t>
        </is>
      </c>
      <c r="G108" t="inlineStr">
        <is>
          <t>ULRICEHAMN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46221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46221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46221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46221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46221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46221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46221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46221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46221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46221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46221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46221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46221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46221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32156-2022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46221</v>
      </c>
      <c r="F123" t="inlineStr">
        <is>
          <t>VÄSTRA GÖTALANDS LÄN</t>
        </is>
      </c>
      <c r="G123" t="inlineStr">
        <is>
          <t>ULRICEHAMN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46221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46221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46221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46221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40444-2021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44419</v>
      </c>
      <c r="E128" s="1" t="n">
        <v>46221</v>
      </c>
      <c r="F128" t="inlineStr">
        <is>
          <t>VÄSTRA GÖTALANDS LÄN</t>
        </is>
      </c>
      <c r="G128" t="inlineStr">
        <is>
          <t>ULRICEHAMN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9754-2024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46221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39762-2024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46221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39763-2024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46221</v>
      </c>
      <c r="F131" t="inlineStr">
        <is>
          <t>VÄSTRA GÖTALANDS LÄN</t>
        </is>
      </c>
      <c r="G131" t="inlineStr">
        <is>
          <t>ULRICEHAMN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46221</v>
      </c>
      <c r="F132" t="inlineStr">
        <is>
          <t>VÄSTRA GÖTALANDS LÄN</t>
        </is>
      </c>
      <c r="G132" t="inlineStr">
        <is>
          <t>ULRICEHAMN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46221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16278-2024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46221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24996-2023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46221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46221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46221</v>
      </c>
      <c r="F137" t="inlineStr">
        <is>
          <t>VÄSTRA GÖTALANDS LÄN</t>
        </is>
      </c>
      <c r="G137" t="inlineStr">
        <is>
          <t>ULRICEHAMN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46221</v>
      </c>
      <c r="F138" t="inlineStr">
        <is>
          <t>VÄSTRA GÖTALANDS LÄN</t>
        </is>
      </c>
      <c r="G138" t="inlineStr">
        <is>
          <t>ULRICEHAMN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8982-2024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46221</v>
      </c>
      <c r="F139" t="inlineStr">
        <is>
          <t>VÄSTRA GÖTALANDS LÄN</t>
        </is>
      </c>
      <c r="G139" t="inlineStr">
        <is>
          <t>ULRICEHAMN</t>
        </is>
      </c>
      <c r="H139" t="inlineStr">
        <is>
          <t>Sveaskog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39343-2022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44817</v>
      </c>
      <c r="E140" s="1" t="n">
        <v>46221</v>
      </c>
      <c r="F140" t="inlineStr">
        <is>
          <t>VÄSTRA GÖTALANDS LÄN</t>
        </is>
      </c>
      <c r="G140" t="inlineStr">
        <is>
          <t>ULRICEHAMN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64762-2021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46221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Sveaskog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14919-2024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45398</v>
      </c>
      <c r="E142" s="1" t="n">
        <v>46221</v>
      </c>
      <c r="F142" t="inlineStr">
        <is>
          <t>VÄSTRA GÖTALANDS LÄN</t>
        </is>
      </c>
      <c r="G142" t="inlineStr">
        <is>
          <t>ULRICEHAMN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46221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46221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19093-2024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46221</v>
      </c>
      <c r="F145" t="inlineStr">
        <is>
          <t>VÄSTRA GÖTALANDS LÄN</t>
        </is>
      </c>
      <c r="G145" t="inlineStr">
        <is>
          <t>ULRICEHAMN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27399-2024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46221</v>
      </c>
      <c r="F146" t="inlineStr">
        <is>
          <t>VÄSTRA GÖTALANDS LÄN</t>
        </is>
      </c>
      <c r="G146" t="inlineStr">
        <is>
          <t>ULRICEHAMN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21972-2024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46221</v>
      </c>
      <c r="F147" t="inlineStr">
        <is>
          <t>VÄSTRA GÖTALANDS LÄN</t>
        </is>
      </c>
      <c r="G147" t="inlineStr">
        <is>
          <t>ULRICEHAMN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37358-2022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46221</v>
      </c>
      <c r="F148" t="inlineStr">
        <is>
          <t>VÄSTRA GÖTALANDS LÄN</t>
        </is>
      </c>
      <c r="G148" t="inlineStr">
        <is>
          <t>ULRICEHAMN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46221</v>
      </c>
      <c r="F149" t="inlineStr">
        <is>
          <t>VÄSTRA GÖTALANDS LÄN</t>
        </is>
      </c>
      <c r="G149" t="inlineStr">
        <is>
          <t>ULRICEHAMN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46221</v>
      </c>
      <c r="F150" t="inlineStr">
        <is>
          <t>VÄSTRA GÖTALANDS LÄN</t>
        </is>
      </c>
      <c r="G150" t="inlineStr">
        <is>
          <t>ULRICEHAMN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56295-2023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45242</v>
      </c>
      <c r="E151" s="1" t="n">
        <v>46221</v>
      </c>
      <c r="F151" t="inlineStr">
        <is>
          <t>VÄSTRA GÖTALANDS LÄN</t>
        </is>
      </c>
      <c r="G151" t="inlineStr">
        <is>
          <t>ULRICEHAMN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45086</v>
      </c>
      <c r="E152" s="1" t="n">
        <v>46221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46221</v>
      </c>
      <c r="F153" t="inlineStr">
        <is>
          <t>VÄSTRA GÖTALANDS LÄN</t>
        </is>
      </c>
      <c r="G153" t="inlineStr">
        <is>
          <t>ULRICEHAMN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3440-2024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45320</v>
      </c>
      <c r="E154" s="1" t="n">
        <v>46221</v>
      </c>
      <c r="F154" t="inlineStr">
        <is>
          <t>VÄSTRA GÖTALANDS LÄN</t>
        </is>
      </c>
      <c r="G154" t="inlineStr">
        <is>
          <t>ULRICEHAMN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46221</v>
      </c>
      <c r="F155" t="inlineStr">
        <is>
          <t>VÄSTRA GÖTALANDS LÄN</t>
        </is>
      </c>
      <c r="G155" t="inlineStr">
        <is>
          <t>ULRICEHAMN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60084-2023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45258</v>
      </c>
      <c r="E156" s="1" t="n">
        <v>46221</v>
      </c>
      <c r="F156" t="inlineStr">
        <is>
          <t>VÄSTRA GÖTALANDS LÄN</t>
        </is>
      </c>
      <c r="G156" t="inlineStr">
        <is>
          <t>ULRICEHAMN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46221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46221</v>
      </c>
      <c r="F158" t="inlineStr">
        <is>
          <t>VÄSTRA GÖTALANDS LÄN</t>
        </is>
      </c>
      <c r="G158" t="inlineStr">
        <is>
          <t>ULRICEHAMN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46221</v>
      </c>
      <c r="F159" t="inlineStr">
        <is>
          <t>VÄSTRA GÖTALANDS LÄN</t>
        </is>
      </c>
      <c r="G159" t="inlineStr">
        <is>
          <t>ULRICEHAMN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46221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46221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45341</v>
      </c>
      <c r="E162" s="1" t="n">
        <v>46221</v>
      </c>
      <c r="F162" t="inlineStr">
        <is>
          <t>VÄSTRA GÖTALANDS LÄN</t>
        </is>
      </c>
      <c r="G162" t="inlineStr">
        <is>
          <t>ULRICEHAMN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60744-2022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46221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51639-2024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45605</v>
      </c>
      <c r="E164" s="1" t="n">
        <v>46221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52198-2022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46221</v>
      </c>
      <c r="F165" t="inlineStr">
        <is>
          <t>VÄSTRA GÖTALANDS LÄN</t>
        </is>
      </c>
      <c r="G165" t="inlineStr">
        <is>
          <t>ULRICEHAMN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45626</v>
      </c>
      <c r="E166" s="1" t="n">
        <v>46221</v>
      </c>
      <c r="F166" t="inlineStr">
        <is>
          <t>VÄSTRA GÖTALANDS LÄN</t>
        </is>
      </c>
      <c r="G166" t="inlineStr">
        <is>
          <t>ULRICEHAMN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30912-2024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45498</v>
      </c>
      <c r="E167" s="1" t="n">
        <v>46221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Kyrkan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46221</v>
      </c>
      <c r="F168" t="inlineStr">
        <is>
          <t>VÄSTRA GÖTALANDS LÄN</t>
        </is>
      </c>
      <c r="G168" t="inlineStr">
        <is>
          <t>ULRICEHAMN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48599-2024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46221</v>
      </c>
      <c r="F169" t="inlineStr">
        <is>
          <t>VÄSTRA GÖTALANDS LÄN</t>
        </is>
      </c>
      <c r="G169" t="inlineStr">
        <is>
          <t>ULRICEHAMN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26377-2025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46221</v>
      </c>
      <c r="F170" t="inlineStr">
        <is>
          <t>VÄSTRA GÖTALANDS LÄN</t>
        </is>
      </c>
      <c r="G170" t="inlineStr">
        <is>
          <t>ULRICEHAMN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46221</v>
      </c>
      <c r="F171" t="inlineStr">
        <is>
          <t>VÄSTRA GÖTALANDS LÄN</t>
        </is>
      </c>
      <c r="G171" t="inlineStr">
        <is>
          <t>ULRICEHAMN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26385-2025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46221</v>
      </c>
      <c r="F172" t="inlineStr">
        <is>
          <t>VÄSTRA GÖTALANDS LÄN</t>
        </is>
      </c>
      <c r="G172" t="inlineStr">
        <is>
          <t>ULRICEHAMN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26376-2025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45806</v>
      </c>
      <c r="E173" s="1" t="n">
        <v>46221</v>
      </c>
      <c r="F173" t="inlineStr">
        <is>
          <t>VÄSTRA GÖTALANDS LÄN</t>
        </is>
      </c>
      <c r="G173" t="inlineStr">
        <is>
          <t>ULRICEHAMN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55323-2022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46221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45806</v>
      </c>
      <c r="E175" s="1" t="n">
        <v>46221</v>
      </c>
      <c r="F175" t="inlineStr">
        <is>
          <t>VÄSTRA GÖTALANDS LÄN</t>
        </is>
      </c>
      <c r="G175" t="inlineStr">
        <is>
          <t>ULRICEHAMN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26383-2025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45806</v>
      </c>
      <c r="E176" s="1" t="n">
        <v>46221</v>
      </c>
      <c r="F176" t="inlineStr">
        <is>
          <t>VÄSTRA GÖTALANDS LÄN</t>
        </is>
      </c>
      <c r="G176" t="inlineStr">
        <is>
          <t>ULRICEHAMN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45097</v>
      </c>
      <c r="E177" s="1" t="n">
        <v>46221</v>
      </c>
      <c r="F177" t="inlineStr">
        <is>
          <t>VÄSTRA GÖTALANDS LÄN</t>
        </is>
      </c>
      <c r="G177" t="inlineStr">
        <is>
          <t>ULRICEHAMN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46221</v>
      </c>
      <c r="F178" t="inlineStr">
        <is>
          <t>VÄSTRA GÖTALANDS LÄN</t>
        </is>
      </c>
      <c r="G178" t="inlineStr">
        <is>
          <t>ULRICEHAMN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56830-2022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44894</v>
      </c>
      <c r="E179" s="1" t="n">
        <v>46221</v>
      </c>
      <c r="F179" t="inlineStr">
        <is>
          <t>VÄSTRA GÖTALANDS LÄN</t>
        </is>
      </c>
      <c r="G179" t="inlineStr">
        <is>
          <t>ULRICEHAMN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9751-2024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46221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8444-2024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45354</v>
      </c>
      <c r="E181" s="1" t="n">
        <v>46221</v>
      </c>
      <c r="F181" t="inlineStr">
        <is>
          <t>VÄSTRA GÖTALANDS LÄN</t>
        </is>
      </c>
      <c r="G181" t="inlineStr">
        <is>
          <t>ULRICEHAMN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27353-2024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45473</v>
      </c>
      <c r="E182" s="1" t="n">
        <v>46221</v>
      </c>
      <c r="F182" t="inlineStr">
        <is>
          <t>VÄSTRA GÖTALANDS LÄN</t>
        </is>
      </c>
      <c r="G182" t="inlineStr">
        <is>
          <t>ULRICEHAMN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46221</v>
      </c>
      <c r="F183" t="inlineStr">
        <is>
          <t>VÄSTRA GÖTALANDS LÄN</t>
        </is>
      </c>
      <c r="G183" t="inlineStr">
        <is>
          <t>ULRICEHAMN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39845-2024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46221</v>
      </c>
      <c r="F184" t="inlineStr">
        <is>
          <t>VÄSTRA GÖTALANDS LÄN</t>
        </is>
      </c>
      <c r="G184" t="inlineStr">
        <is>
          <t>ULRICEHAMN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39849-2024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46221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33611-2023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45132</v>
      </c>
      <c r="E186" s="1" t="n">
        <v>46221</v>
      </c>
      <c r="F186" t="inlineStr">
        <is>
          <t>VÄSTRA GÖTALANDS LÄN</t>
        </is>
      </c>
      <c r="G186" t="inlineStr">
        <is>
          <t>ULRICEHAMN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12552-2022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44638</v>
      </c>
      <c r="E187" s="1" t="n">
        <v>46221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46221</v>
      </c>
      <c r="F188" t="inlineStr">
        <is>
          <t>VÄSTRA GÖTALANDS LÄN</t>
        </is>
      </c>
      <c r="G188" t="inlineStr">
        <is>
          <t>ULRICEHAMN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10714-2022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44626</v>
      </c>
      <c r="E189" s="1" t="n">
        <v>46221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7532-2024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45348</v>
      </c>
      <c r="E190" s="1" t="n">
        <v>46221</v>
      </c>
      <c r="F190" t="inlineStr">
        <is>
          <t>VÄSTRA GÖTALANDS LÄN</t>
        </is>
      </c>
      <c r="G190" t="inlineStr">
        <is>
          <t>ULRICEHAMN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38595-2023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46221</v>
      </c>
      <c r="F191" t="inlineStr">
        <is>
          <t>VÄSTRA GÖTALANDS LÄN</t>
        </is>
      </c>
      <c r="G191" t="inlineStr">
        <is>
          <t>ULRICEHAMN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54208-2022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46221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7346-2023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44971</v>
      </c>
      <c r="E193" s="1" t="n">
        <v>46221</v>
      </c>
      <c r="F193" t="inlineStr">
        <is>
          <t>VÄSTRA GÖTALANDS LÄN</t>
        </is>
      </c>
      <c r="G193" t="inlineStr">
        <is>
          <t>ULRICEHAMN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24713-2023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46221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Sveaskog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61908-2021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46221</v>
      </c>
      <c r="F195" t="inlineStr">
        <is>
          <t>VÄSTRA GÖTALANDS LÄN</t>
        </is>
      </c>
      <c r="G195" t="inlineStr">
        <is>
          <t>ULRICEHAMN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16577-2022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46221</v>
      </c>
      <c r="F196" t="inlineStr">
        <is>
          <t>VÄSTRA GÖTALANDS LÄN</t>
        </is>
      </c>
      <c r="G196" t="inlineStr">
        <is>
          <t>ULRICEHAMN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45084</v>
      </c>
      <c r="E197" s="1" t="n">
        <v>46221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13.7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46221</v>
      </c>
      <c r="F198" t="inlineStr">
        <is>
          <t>VÄSTRA GÖTALANDS LÄN</t>
        </is>
      </c>
      <c r="G198" t="inlineStr">
        <is>
          <t>ULRICEHAMN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46221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18201-2023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46221</v>
      </c>
      <c r="F200" t="inlineStr">
        <is>
          <t>VÄSTRA GÖTALANDS LÄN</t>
        </is>
      </c>
      <c r="G200" t="inlineStr">
        <is>
          <t>ULRICEHAMN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46221</v>
      </c>
      <c r="F201" t="inlineStr">
        <is>
          <t>VÄSTRA GÖTALANDS LÄN</t>
        </is>
      </c>
      <c r="G201" t="inlineStr">
        <is>
          <t>ULRICEHAMN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39403-2025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46221</v>
      </c>
      <c r="F202" t="inlineStr">
        <is>
          <t>VÄSTRA GÖTALANDS LÄN</t>
        </is>
      </c>
      <c r="G202" t="inlineStr">
        <is>
          <t>ULRICEHAMN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46221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39401-2025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46221</v>
      </c>
      <c r="F204" t="inlineStr">
        <is>
          <t>VÄSTRA GÖTALANDS LÄN</t>
        </is>
      </c>
      <c r="G204" t="inlineStr">
        <is>
          <t>ULRICEHAMN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29325-2025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46221</v>
      </c>
      <c r="F205" t="inlineStr">
        <is>
          <t>VÄSTRA GÖTALANDS LÄN</t>
        </is>
      </c>
      <c r="G205" t="inlineStr">
        <is>
          <t>ULRICEHAMN</t>
        </is>
      </c>
      <c r="I205" t="n">
        <v>14.8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46221</v>
      </c>
      <c r="F206" t="inlineStr">
        <is>
          <t>VÄSTRA GÖTALANDS LÄN</t>
        </is>
      </c>
      <c r="G206" t="inlineStr">
        <is>
          <t>ULRICEHAMN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46221</v>
      </c>
      <c r="F207" t="inlineStr">
        <is>
          <t>VÄSTRA GÖTALANDS LÄN</t>
        </is>
      </c>
      <c r="G207" t="inlineStr">
        <is>
          <t>ULRICEHAMN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46221</v>
      </c>
      <c r="F208" t="inlineStr">
        <is>
          <t>VÄSTRA GÖTALANDS LÄN</t>
        </is>
      </c>
      <c r="G208" t="inlineStr">
        <is>
          <t>ULRICEHAMN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40425-2025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46221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44402-2024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46221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46221</v>
      </c>
      <c r="F211" t="inlineStr">
        <is>
          <t>VÄSTRA GÖTALANDS LÄN</t>
        </is>
      </c>
      <c r="G211" t="inlineStr">
        <is>
          <t>ULRICEHAMN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40563-2025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46221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13061-2024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46221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29924-2025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46221</v>
      </c>
      <c r="F214" t="inlineStr">
        <is>
          <t>VÄSTRA GÖTALANDS LÄN</t>
        </is>
      </c>
      <c r="G214" t="inlineStr">
        <is>
          <t>ULRICEHAMN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10270-2025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46221</v>
      </c>
      <c r="F215" t="inlineStr">
        <is>
          <t>VÄSTRA GÖTALANDS LÄN</t>
        </is>
      </c>
      <c r="G215" t="inlineStr">
        <is>
          <t>ULRICEHAMN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14952-2025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46221</v>
      </c>
      <c r="F216" t="inlineStr">
        <is>
          <t>VÄSTRA GÖTALANDS LÄN</t>
        </is>
      </c>
      <c r="G216" t="inlineStr">
        <is>
          <t>ULRICEHAMN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12438-2025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45730</v>
      </c>
      <c r="E217" s="1" t="n">
        <v>46221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46221</v>
      </c>
      <c r="F218" t="inlineStr">
        <is>
          <t>VÄSTRA GÖTALANDS LÄN</t>
        </is>
      </c>
      <c r="G218" t="inlineStr">
        <is>
          <t>ULRICEHAMN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46221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46221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46221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Kyrkan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46221</v>
      </c>
      <c r="F222" t="inlineStr">
        <is>
          <t>VÄSTRA GÖTALANDS LÄN</t>
        </is>
      </c>
      <c r="G222" t="inlineStr">
        <is>
          <t>ULRICEHAMN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46221</v>
      </c>
      <c r="F223" t="inlineStr">
        <is>
          <t>VÄSTRA GÖTALANDS LÄN</t>
        </is>
      </c>
      <c r="G223" t="inlineStr">
        <is>
          <t>ULRICEHAMN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7094-2024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45343</v>
      </c>
      <c r="E224" s="1" t="n">
        <v>46221</v>
      </c>
      <c r="F224" t="inlineStr">
        <is>
          <t>VÄSTRA GÖTALANDS LÄN</t>
        </is>
      </c>
      <c r="G224" t="inlineStr">
        <is>
          <t>ULRICEHAMN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38730-2024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46221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38733-2024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46221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38734-2024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46221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41492-2025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46221</v>
      </c>
      <c r="F228" t="inlineStr">
        <is>
          <t>VÄSTRA GÖTALANDS LÄN</t>
        </is>
      </c>
      <c r="G228" t="inlineStr">
        <is>
          <t>ULRICEHAMN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46221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46221</v>
      </c>
      <c r="F230" t="inlineStr">
        <is>
          <t>VÄSTRA GÖTALANDS LÄN</t>
        </is>
      </c>
      <c r="G230" t="inlineStr">
        <is>
          <t>ULRICEHAMN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44663</v>
      </c>
      <c r="E231" s="1" t="n">
        <v>46221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24041-2022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44724</v>
      </c>
      <c r="E232" s="1" t="n">
        <v>46221</v>
      </c>
      <c r="F232" t="inlineStr">
        <is>
          <t>VÄSTRA GÖTALANDS LÄN</t>
        </is>
      </c>
      <c r="G232" t="inlineStr">
        <is>
          <t>ULRICEHAMN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19833-2025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46221</v>
      </c>
      <c r="F233" t="inlineStr">
        <is>
          <t>VÄSTRA GÖTALANDS LÄN</t>
        </is>
      </c>
      <c r="G233" t="inlineStr">
        <is>
          <t>ULRICEHAMN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56775-2023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46221</v>
      </c>
      <c r="F234" t="inlineStr">
        <is>
          <t>VÄSTRA GÖTALANDS LÄN</t>
        </is>
      </c>
      <c r="G234" t="inlineStr">
        <is>
          <t>ULRICEHAMN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46221</v>
      </c>
      <c r="F235" t="inlineStr">
        <is>
          <t>VÄSTRA GÖTALANDS LÄN</t>
        </is>
      </c>
      <c r="G235" t="inlineStr">
        <is>
          <t>ULRICEHAMN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46221</v>
      </c>
      <c r="F236" t="inlineStr">
        <is>
          <t>VÄSTRA GÖTALANDS LÄN</t>
        </is>
      </c>
      <c r="G236" t="inlineStr">
        <is>
          <t>ULRICEHAMN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42580-2025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46221</v>
      </c>
      <c r="F237" t="inlineStr">
        <is>
          <t>VÄSTRA GÖTALANDS LÄN</t>
        </is>
      </c>
      <c r="G237" t="inlineStr">
        <is>
          <t>ULRICEHAMN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46221</v>
      </c>
      <c r="F238" t="inlineStr">
        <is>
          <t>VÄSTRA GÖTALANDS LÄN</t>
        </is>
      </c>
      <c r="G238" t="inlineStr">
        <is>
          <t>ULRICEHAMN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32208-2025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46221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32211-2025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46221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32214-2025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46221</v>
      </c>
      <c r="F241" t="inlineStr">
        <is>
          <t>VÄSTRA GÖTALANDS LÄN</t>
        </is>
      </c>
      <c r="G241" t="inlineStr">
        <is>
          <t>ULRICEHAMN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32597-2025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46221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43010-2025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46221</v>
      </c>
      <c r="F243" t="inlineStr">
        <is>
          <t>VÄSTRA GÖTALANDS LÄN</t>
        </is>
      </c>
      <c r="G243" t="inlineStr">
        <is>
          <t>ULRICEHAMN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52681-2023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45225</v>
      </c>
      <c r="E244" s="1" t="n">
        <v>46221</v>
      </c>
      <c r="F244" t="inlineStr">
        <is>
          <t>VÄSTRA GÖTALANDS LÄN</t>
        </is>
      </c>
      <c r="G244" t="inlineStr">
        <is>
          <t>ULRICEHAMN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46221</v>
      </c>
      <c r="F245" t="inlineStr">
        <is>
          <t>VÄSTRA GÖTALANDS LÄN</t>
        </is>
      </c>
      <c r="G245" t="inlineStr">
        <is>
          <t>ULRICEHAMN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43006-2025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46221</v>
      </c>
      <c r="F246" t="inlineStr">
        <is>
          <t>VÄSTRA GÖTALANDS LÄN</t>
        </is>
      </c>
      <c r="G246" t="inlineStr">
        <is>
          <t>ULRICEHAMN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46221</v>
      </c>
      <c r="F247" t="inlineStr">
        <is>
          <t>VÄSTRA GÖTALANDS LÄN</t>
        </is>
      </c>
      <c r="G247" t="inlineStr">
        <is>
          <t>ULRICEHAMN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32512-2025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46221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46221</v>
      </c>
      <c r="F249" t="inlineStr">
        <is>
          <t>VÄSTRA GÖTALANDS LÄN</t>
        </is>
      </c>
      <c r="G249" t="inlineStr">
        <is>
          <t>ULRICEHAMN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49912-2021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44455</v>
      </c>
      <c r="E250" s="1" t="n">
        <v>46221</v>
      </c>
      <c r="F250" t="inlineStr">
        <is>
          <t>VÄSTRA GÖTALANDS LÄN</t>
        </is>
      </c>
      <c r="G250" t="inlineStr">
        <is>
          <t>ULRICEHAMN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46221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46221</v>
      </c>
      <c r="F252" t="inlineStr">
        <is>
          <t>VÄSTRA GÖTALANDS LÄN</t>
        </is>
      </c>
      <c r="G252" t="inlineStr">
        <is>
          <t>ULRICEHAMN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44959</v>
      </c>
      <c r="E253" s="1" t="n">
        <v>46221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46221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46221</v>
      </c>
      <c r="F255" t="inlineStr">
        <is>
          <t>VÄSTRA GÖTALANDS LÄN</t>
        </is>
      </c>
      <c r="G255" t="inlineStr">
        <is>
          <t>ULRICEHAMN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14599-2025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46221</v>
      </c>
      <c r="F256" t="inlineStr">
        <is>
          <t>VÄSTRA GÖTALANDS LÄN</t>
        </is>
      </c>
      <c r="G256" t="inlineStr">
        <is>
          <t>ULRICEHAMN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32610-2025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46221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46221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32612-2025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46221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33631-2025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45841</v>
      </c>
      <c r="E260" s="1" t="n">
        <v>46221</v>
      </c>
      <c r="F260" t="inlineStr">
        <is>
          <t>VÄSTRA GÖTALANDS LÄN</t>
        </is>
      </c>
      <c r="G260" t="inlineStr">
        <is>
          <t>ULRICEHAMN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46221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46221</v>
      </c>
      <c r="F262" t="inlineStr">
        <is>
          <t>VÄSTRA GÖTALANDS LÄN</t>
        </is>
      </c>
      <c r="G262" t="inlineStr">
        <is>
          <t>ULRICEHAMN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18920-2024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46221</v>
      </c>
      <c r="F263" t="inlineStr">
        <is>
          <t>VÄSTRA GÖTALANDS LÄN</t>
        </is>
      </c>
      <c r="G263" t="inlineStr">
        <is>
          <t>ULRICEHAMN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46221</v>
      </c>
      <c r="F264" t="inlineStr">
        <is>
          <t>VÄSTRA GÖTALANDS LÄN</t>
        </is>
      </c>
      <c r="G264" t="inlineStr">
        <is>
          <t>ULRICEHAMN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39839-2024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46221</v>
      </c>
      <c r="F265" t="inlineStr">
        <is>
          <t>VÄSTRA GÖTALANDS LÄN</t>
        </is>
      </c>
      <c r="G265" t="inlineStr">
        <is>
          <t>ULRICEHAMN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45637-2025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46221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46221</v>
      </c>
      <c r="F267" t="inlineStr">
        <is>
          <t>VÄSTRA GÖTALANDS LÄN</t>
        </is>
      </c>
      <c r="G267" t="inlineStr">
        <is>
          <t>ULRICEHAMN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26350-2022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44735</v>
      </c>
      <c r="E268" s="1" t="n">
        <v>46221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46221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46221</v>
      </c>
      <c r="F270" t="inlineStr">
        <is>
          <t>VÄSTRA GÖTALANDS LÄN</t>
        </is>
      </c>
      <c r="G270" t="inlineStr">
        <is>
          <t>ULRICEHAMN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46221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60562-2022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46221</v>
      </c>
      <c r="F272" t="inlineStr">
        <is>
          <t>VÄSTRA GÖTALANDS LÄN</t>
        </is>
      </c>
      <c r="G272" t="inlineStr">
        <is>
          <t>ULRICEHAMN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46221</v>
      </c>
      <c r="F273" t="inlineStr">
        <is>
          <t>VÄSTRA GÖTALANDS LÄN</t>
        </is>
      </c>
      <c r="G273" t="inlineStr">
        <is>
          <t>ULRICEHAMN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46532-2025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46221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46504-2025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46221</v>
      </c>
      <c r="F275" t="inlineStr">
        <is>
          <t>VÄSTRA GÖTALANDS LÄN</t>
        </is>
      </c>
      <c r="G275" t="inlineStr">
        <is>
          <t>ULRICEHAMN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42544-2022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44831</v>
      </c>
      <c r="E276" s="1" t="n">
        <v>46221</v>
      </c>
      <c r="F276" t="inlineStr">
        <is>
          <t>VÄSTRA GÖTALANDS LÄN</t>
        </is>
      </c>
      <c r="G276" t="inlineStr">
        <is>
          <t>ULRICEHAMN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45663</v>
      </c>
      <c r="E277" s="1" t="n">
        <v>46221</v>
      </c>
      <c r="F277" t="inlineStr">
        <is>
          <t>VÄSTRA GÖTALANDS LÄN</t>
        </is>
      </c>
      <c r="G277" t="inlineStr">
        <is>
          <t>ULRICEHAMN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46221</v>
      </c>
      <c r="F278" t="inlineStr">
        <is>
          <t>VÄSTRA GÖTALANDS LÄN</t>
        </is>
      </c>
      <c r="G278" t="inlineStr">
        <is>
          <t>ULRICEHAMN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46534-2025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46221</v>
      </c>
      <c r="F279" t="inlineStr">
        <is>
          <t>VÄSTRA GÖTALANDS LÄN</t>
        </is>
      </c>
      <c r="G279" t="inlineStr">
        <is>
          <t>ULRICEHAMN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46221</v>
      </c>
      <c r="F280" t="inlineStr">
        <is>
          <t>VÄSTRA GÖTALANDS LÄN</t>
        </is>
      </c>
      <c r="G280" t="inlineStr">
        <is>
          <t>ULRICEHAMN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52712-2023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46221</v>
      </c>
      <c r="F281" t="inlineStr">
        <is>
          <t>VÄSTRA GÖTALANDS LÄN</t>
        </is>
      </c>
      <c r="G281" t="inlineStr">
        <is>
          <t>ULRICEHAMN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46221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35546-2025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46221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46221</v>
      </c>
      <c r="F284" t="inlineStr">
        <is>
          <t>VÄSTRA GÖTALANDS LÄN</t>
        </is>
      </c>
      <c r="G284" t="inlineStr">
        <is>
          <t>ULRICEHAMN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50062-2024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46221</v>
      </c>
      <c r="F285" t="inlineStr">
        <is>
          <t>VÄSTRA GÖTALANDS LÄN</t>
        </is>
      </c>
      <c r="G285" t="inlineStr">
        <is>
          <t>ULRICEHAMN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46221</v>
      </c>
      <c r="F286" t="inlineStr">
        <is>
          <t>VÄSTRA GÖTALANDS LÄN</t>
        </is>
      </c>
      <c r="G286" t="inlineStr">
        <is>
          <t>ULRICEHAMN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45314</v>
      </c>
      <c r="E287" s="1" t="n">
        <v>46221</v>
      </c>
      <c r="F287" t="inlineStr">
        <is>
          <t>VÄSTRA GÖTALANDS LÄN</t>
        </is>
      </c>
      <c r="G287" t="inlineStr">
        <is>
          <t>ULRICEHAMN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46221</v>
      </c>
      <c r="F288" t="inlineStr">
        <is>
          <t>VÄSTRA GÖTALANDS LÄN</t>
        </is>
      </c>
      <c r="G288" t="inlineStr">
        <is>
          <t>ULRICEHAMN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47896-2025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46221</v>
      </c>
      <c r="F289" t="inlineStr">
        <is>
          <t>VÄSTRA GÖTALANDS LÄN</t>
        </is>
      </c>
      <c r="G289" t="inlineStr">
        <is>
          <t>ULRICEHAMN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7344-2023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44971</v>
      </c>
      <c r="E290" s="1" t="n">
        <v>46221</v>
      </c>
      <c r="F290" t="inlineStr">
        <is>
          <t>VÄSTRA GÖTALANDS LÄN</t>
        </is>
      </c>
      <c r="G290" t="inlineStr">
        <is>
          <t>ULRICEHAMN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45862</v>
      </c>
      <c r="E291" s="1" t="n">
        <v>46221</v>
      </c>
      <c r="F291" t="inlineStr">
        <is>
          <t>VÄSTRA GÖTALANDS LÄN</t>
        </is>
      </c>
      <c r="G291" t="inlineStr">
        <is>
          <t>ULRICEHAMN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53012-2024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45611</v>
      </c>
      <c r="E292" s="1" t="n">
        <v>46221</v>
      </c>
      <c r="F292" t="inlineStr">
        <is>
          <t>VÄSTRA GÖTALANDS LÄN</t>
        </is>
      </c>
      <c r="G292" t="inlineStr">
        <is>
          <t>ULRICEHAMN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46221</v>
      </c>
      <c r="F293" t="inlineStr">
        <is>
          <t>VÄSTRA GÖTALANDS LÄN</t>
        </is>
      </c>
      <c r="G293" t="inlineStr">
        <is>
          <t>ULRICEHAMN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50677-2021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44460</v>
      </c>
      <c r="E294" s="1" t="n">
        <v>46221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48405-2025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45934</v>
      </c>
      <c r="E295" s="1" t="n">
        <v>46221</v>
      </c>
      <c r="F295" t="inlineStr">
        <is>
          <t>VÄSTRA GÖTALANDS LÄN</t>
        </is>
      </c>
      <c r="G295" t="inlineStr">
        <is>
          <t>ULRICEHAMN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48411-2025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45934</v>
      </c>
      <c r="E296" s="1" t="n">
        <v>46221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48416-2025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45934</v>
      </c>
      <c r="E297" s="1" t="n">
        <v>46221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48294-2025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46221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48406-2025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46221</v>
      </c>
      <c r="F299" t="inlineStr">
        <is>
          <t>VÄSTRA GÖTALANDS LÄN</t>
        </is>
      </c>
      <c r="G299" t="inlineStr">
        <is>
          <t>ULRICEHAMN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36080-2025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45866</v>
      </c>
      <c r="E300" s="1" t="n">
        <v>46221</v>
      </c>
      <c r="F300" t="inlineStr">
        <is>
          <t>VÄSTRA GÖTALANDS LÄN</t>
        </is>
      </c>
      <c r="G300" t="inlineStr">
        <is>
          <t>ULRICEHAMN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36067-2025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45866</v>
      </c>
      <c r="E301" s="1" t="n">
        <v>46221</v>
      </c>
      <c r="F301" t="inlineStr">
        <is>
          <t>VÄSTRA GÖTALANDS LÄN</t>
        </is>
      </c>
      <c r="G301" t="inlineStr">
        <is>
          <t>ULRICEHAMN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48346-2025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46221</v>
      </c>
      <c r="F302" t="inlineStr">
        <is>
          <t>VÄSTRA GÖTALANDS LÄN</t>
        </is>
      </c>
      <c r="G302" t="inlineStr">
        <is>
          <t>ULRICEHAMN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36305-2025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45868</v>
      </c>
      <c r="E303" s="1" t="n">
        <v>46221</v>
      </c>
      <c r="F303" t="inlineStr">
        <is>
          <t>VÄSTRA GÖTALANDS LÄN</t>
        </is>
      </c>
      <c r="G303" t="inlineStr">
        <is>
          <t>ULRICEHAMN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50806-2024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46221</v>
      </c>
      <c r="F304" t="inlineStr">
        <is>
          <t>VÄSTRA GÖTALANDS LÄN</t>
        </is>
      </c>
      <c r="G304" t="inlineStr">
        <is>
          <t>ULRICEHAMN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46221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16745-2024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46221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45411</v>
      </c>
      <c r="E307" s="1" t="n">
        <v>46221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46221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49310-2025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46221</v>
      </c>
      <c r="F309" t="inlineStr">
        <is>
          <t>VÄSTRA GÖTALANDS LÄN</t>
        </is>
      </c>
      <c r="G309" t="inlineStr">
        <is>
          <t>ULRICEHAMN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49316-2025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46221</v>
      </c>
      <c r="F310" t="inlineStr">
        <is>
          <t>VÄSTRA GÖTALANDS LÄN</t>
        </is>
      </c>
      <c r="G310" t="inlineStr">
        <is>
          <t>ULRICEHAMN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27390-2024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46221</v>
      </c>
      <c r="F311" t="inlineStr">
        <is>
          <t>VÄSTRA GÖTALANDS LÄN</t>
        </is>
      </c>
      <c r="G311" t="inlineStr">
        <is>
          <t>ULRICEHAMN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62620-2021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44503</v>
      </c>
      <c r="E312" s="1" t="n">
        <v>46221</v>
      </c>
      <c r="F312" t="inlineStr">
        <is>
          <t>VÄSTRA GÖTALANDS LÄN</t>
        </is>
      </c>
      <c r="G312" t="inlineStr">
        <is>
          <t>ULRICEHAMN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6886-2026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46221</v>
      </c>
      <c r="F313" t="inlineStr">
        <is>
          <t>VÄSTRA GÖTALANDS LÄN</t>
        </is>
      </c>
      <c r="G313" t="inlineStr">
        <is>
          <t>ULRICEHAMN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13513-2023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46221</v>
      </c>
      <c r="F314" t="inlineStr">
        <is>
          <t>VÄSTRA GÖTALANDS LÄN</t>
        </is>
      </c>
      <c r="G314" t="inlineStr">
        <is>
          <t>ULRICEHAMN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46221</v>
      </c>
      <c r="F315" t="inlineStr">
        <is>
          <t>VÄSTRA GÖTALANDS LÄN</t>
        </is>
      </c>
      <c r="G315" t="inlineStr">
        <is>
          <t>ULRICEHAMN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49545-2025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46221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41108-2025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46221</v>
      </c>
      <c r="F317" t="inlineStr">
        <is>
          <t>VÄSTRA GÖTALANDS LÄN</t>
        </is>
      </c>
      <c r="G317" t="inlineStr">
        <is>
          <t>ULRICEHAMN</t>
        </is>
      </c>
      <c r="H317" t="inlineStr">
        <is>
          <t>Sveaskog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37560-2025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45880</v>
      </c>
      <c r="E318" s="1" t="n">
        <v>46221</v>
      </c>
      <c r="F318" t="inlineStr">
        <is>
          <t>VÄSTRA GÖTALANDS LÄN</t>
        </is>
      </c>
      <c r="G318" t="inlineStr">
        <is>
          <t>ULRICEHAMN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34774-2023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45140</v>
      </c>
      <c r="E319" s="1" t="n">
        <v>46221</v>
      </c>
      <c r="F319" t="inlineStr">
        <is>
          <t>VÄSTRA GÖTALANDS LÄN</t>
        </is>
      </c>
      <c r="G319" t="inlineStr">
        <is>
          <t>ULRICEHAMN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46221</v>
      </c>
      <c r="F320" t="inlineStr">
        <is>
          <t>VÄSTRA GÖTALANDS LÄN</t>
        </is>
      </c>
      <c r="G320" t="inlineStr">
        <is>
          <t>ULRICEHAMN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49485-2025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46221</v>
      </c>
      <c r="F321" t="inlineStr">
        <is>
          <t>VÄSTRA GÖTALANDS LÄN</t>
        </is>
      </c>
      <c r="G321" t="inlineStr">
        <is>
          <t>ULRICEHAMN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45664</v>
      </c>
      <c r="E322" s="1" t="n">
        <v>46221</v>
      </c>
      <c r="F322" t="inlineStr">
        <is>
          <t>VÄSTRA GÖTALANDS LÄN</t>
        </is>
      </c>
      <c r="G322" t="inlineStr">
        <is>
          <t>ULRICEHAMN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46221</v>
      </c>
      <c r="F323" t="inlineStr">
        <is>
          <t>VÄSTRA GÖTALANDS LÄN</t>
        </is>
      </c>
      <c r="G323" t="inlineStr">
        <is>
          <t>ULRICEHAMN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45666</v>
      </c>
      <c r="E324" s="1" t="n">
        <v>46221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17236-2023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46221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51386-2025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45950</v>
      </c>
      <c r="E326" s="1" t="n">
        <v>46221</v>
      </c>
      <c r="F326" t="inlineStr">
        <is>
          <t>VÄSTRA GÖTALANDS LÄN</t>
        </is>
      </c>
      <c r="G326" t="inlineStr">
        <is>
          <t>ULRICEHAMN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44301-2024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45573</v>
      </c>
      <c r="E327" s="1" t="n">
        <v>46221</v>
      </c>
      <c r="F327" t="inlineStr">
        <is>
          <t>VÄSTRA GÖTALANDS LÄN</t>
        </is>
      </c>
      <c r="G327" t="inlineStr">
        <is>
          <t>ULRICEHAMN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45947</v>
      </c>
      <c r="E328" s="1" t="n">
        <v>46221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37515-2023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45158</v>
      </c>
      <c r="E329" s="1" t="n">
        <v>46221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37791-2023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45159</v>
      </c>
      <c r="E330" s="1" t="n">
        <v>46221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51683-2025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46221</v>
      </c>
      <c r="F331" t="inlineStr">
        <is>
          <t>VÄSTRA GÖTALANDS LÄN</t>
        </is>
      </c>
      <c r="G331" t="inlineStr">
        <is>
          <t>ULRICEHAMN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51682-2025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45951</v>
      </c>
      <c r="E332" s="1" t="n">
        <v>46221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51666-2024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45606</v>
      </c>
      <c r="E333" s="1" t="n">
        <v>46221</v>
      </c>
      <c r="F333" t="inlineStr">
        <is>
          <t>VÄSTRA GÖTALANDS LÄN</t>
        </is>
      </c>
      <c r="G333" t="inlineStr">
        <is>
          <t>ULRICEHAMN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52536-2025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46221</v>
      </c>
      <c r="F334" t="inlineStr">
        <is>
          <t>VÄSTRA GÖTALANDS LÄN</t>
        </is>
      </c>
      <c r="G334" t="inlineStr">
        <is>
          <t>ULRICEHAMN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46221</v>
      </c>
      <c r="F335" t="inlineStr">
        <is>
          <t>VÄSTRA GÖTALANDS LÄN</t>
        </is>
      </c>
      <c r="G335" t="inlineStr">
        <is>
          <t>ULRICEHAMN</t>
        </is>
      </c>
      <c r="H335" t="inlineStr">
        <is>
          <t>Sveaskog</t>
        </is>
      </c>
      <c r="I335" t="n">
        <v>20.3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46221</v>
      </c>
      <c r="F336" t="inlineStr">
        <is>
          <t>VÄSTRA GÖTALANDS LÄN</t>
        </is>
      </c>
      <c r="G336" t="inlineStr">
        <is>
          <t>ULRICEHAMN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53504-2025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46221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46221</v>
      </c>
      <c r="F338" t="inlineStr">
        <is>
          <t>VÄSTRA GÖTALANDS LÄN</t>
        </is>
      </c>
      <c r="G338" t="inlineStr">
        <is>
          <t>ULRICEHAMN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53518-2025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46221</v>
      </c>
      <c r="F339" t="inlineStr">
        <is>
          <t>VÄSTRA GÖTALANDS LÄN</t>
        </is>
      </c>
      <c r="G339" t="inlineStr">
        <is>
          <t>ULRICEHAMN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53497-2025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46221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55997-2021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44477</v>
      </c>
      <c r="E341" s="1" t="n">
        <v>46221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46221</v>
      </c>
      <c r="F342" t="inlineStr">
        <is>
          <t>VÄSTRA GÖTALANDS LÄN</t>
        </is>
      </c>
      <c r="G342" t="inlineStr">
        <is>
          <t>ULRICEHAMN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52713-2023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46221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46221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46221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46221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9604-2026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46221</v>
      </c>
      <c r="F347" t="inlineStr">
        <is>
          <t>VÄSTRA GÖTALANDS LÄN</t>
        </is>
      </c>
      <c r="G347" t="inlineStr">
        <is>
          <t>ULRICEHAMN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9605-2026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46221</v>
      </c>
      <c r="F348" t="inlineStr">
        <is>
          <t>VÄSTRA GÖTALANDS LÄN</t>
        </is>
      </c>
      <c r="G348" t="inlineStr">
        <is>
          <t>ULRICEHAMN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38180-2023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46221</v>
      </c>
      <c r="F349" t="inlineStr">
        <is>
          <t>VÄSTRA GÖTALANDS LÄN</t>
        </is>
      </c>
      <c r="G349" t="inlineStr">
        <is>
          <t>ULRICEHAMN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46221</v>
      </c>
      <c r="F350" t="inlineStr">
        <is>
          <t>VÄSTRA GÖTALANDS LÄN</t>
        </is>
      </c>
      <c r="G350" t="inlineStr">
        <is>
          <t>ULRICEHAMN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37685-2022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44810</v>
      </c>
      <c r="E351" s="1" t="n">
        <v>46221</v>
      </c>
      <c r="F351" t="inlineStr">
        <is>
          <t>VÄSTRA GÖTALANDS LÄN</t>
        </is>
      </c>
      <c r="G351" t="inlineStr">
        <is>
          <t>ULRICEHAMN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52172-2023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46221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54814-2025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46221</v>
      </c>
      <c r="F353" t="inlineStr">
        <is>
          <t>VÄSTRA GÖTALANDS LÄN</t>
        </is>
      </c>
      <c r="G353" t="inlineStr">
        <is>
          <t>ULRICEHAMN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46221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54837-2025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46221</v>
      </c>
      <c r="F355" t="inlineStr">
        <is>
          <t>VÄSTRA GÖTALANDS LÄN</t>
        </is>
      </c>
      <c r="G355" t="inlineStr">
        <is>
          <t>ULRICEHAMN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10431-2026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46077</v>
      </c>
      <c r="E356" s="1" t="n">
        <v>46221</v>
      </c>
      <c r="F356" t="inlineStr">
        <is>
          <t>VÄSTRA GÖTALANDS LÄN</t>
        </is>
      </c>
      <c r="G356" t="inlineStr">
        <is>
          <t>ULRICEHAMN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55270-2025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45968</v>
      </c>
      <c r="E357" s="1" t="n">
        <v>46221</v>
      </c>
      <c r="F357" t="inlineStr">
        <is>
          <t>VÄSTRA GÖTALANDS LÄN</t>
        </is>
      </c>
      <c r="G357" t="inlineStr">
        <is>
          <t>ULRICEHAMN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46221</v>
      </c>
      <c r="F358" t="inlineStr">
        <is>
          <t>VÄSTRA GÖTALANDS LÄN</t>
        </is>
      </c>
      <c r="G358" t="inlineStr">
        <is>
          <t>ULRICEHAMN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39774-2021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44417</v>
      </c>
      <c r="E359" s="1" t="n">
        <v>46221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7978-2026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46221</v>
      </c>
      <c r="F360" t="inlineStr">
        <is>
          <t>VÄSTRA GÖTALANDS LÄN</t>
        </is>
      </c>
      <c r="G360" t="inlineStr">
        <is>
          <t>ULRICEHAMN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7981-2026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46221</v>
      </c>
      <c r="F361" t="inlineStr">
        <is>
          <t>VÄSTRA GÖTALANDS LÄN</t>
        </is>
      </c>
      <c r="G361" t="inlineStr">
        <is>
          <t>ULRICEHAMN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56319-2025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46221</v>
      </c>
      <c r="F362" t="inlineStr">
        <is>
          <t>VÄSTRA GÖTALANDS LÄN</t>
        </is>
      </c>
      <c r="G362" t="inlineStr">
        <is>
          <t>ULRICEHAMN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55160-2023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46221</v>
      </c>
      <c r="F363" t="inlineStr">
        <is>
          <t>VÄSTRA GÖTALANDS LÄN</t>
        </is>
      </c>
      <c r="G363" t="inlineStr">
        <is>
          <t>ULRICEHAMN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7990-2026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46221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56354-2025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46221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56360-2025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46221</v>
      </c>
      <c r="F366" t="inlineStr">
        <is>
          <t>VÄSTRA GÖTALANDS LÄN</t>
        </is>
      </c>
      <c r="G366" t="inlineStr">
        <is>
          <t>ULRICEHAMN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22416-2023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46221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56418-2025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46221</v>
      </c>
      <c r="F368" t="inlineStr">
        <is>
          <t>VÄSTRA GÖTALANDS LÄN</t>
        </is>
      </c>
      <c r="G368" t="inlineStr">
        <is>
          <t>ULRICEHAMN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51914-2023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46221</v>
      </c>
      <c r="F369" t="inlineStr">
        <is>
          <t>VÄSTRA GÖTALANDS LÄN</t>
        </is>
      </c>
      <c r="G369" t="inlineStr">
        <is>
          <t>ULRICEHAMN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45686</v>
      </c>
      <c r="E370" s="1" t="n">
        <v>46221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34576-2023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46221</v>
      </c>
      <c r="F371" t="inlineStr">
        <is>
          <t>VÄSTRA GÖTALANDS LÄN</t>
        </is>
      </c>
      <c r="G371" t="inlineStr">
        <is>
          <t>ULRICEHAMN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14039-2023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45008</v>
      </c>
      <c r="E372" s="1" t="n">
        <v>46221</v>
      </c>
      <c r="F372" t="inlineStr">
        <is>
          <t>VÄSTRA GÖTALANDS LÄN</t>
        </is>
      </c>
      <c r="G372" t="inlineStr">
        <is>
          <t>ULRICEHAMN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33892-2023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45134</v>
      </c>
      <c r="E373" s="1" t="n">
        <v>46221</v>
      </c>
      <c r="F373" t="inlineStr">
        <is>
          <t>VÄSTRA GÖTALANDS LÄN</t>
        </is>
      </c>
      <c r="G373" t="inlineStr">
        <is>
          <t>ULRICEHAMN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12205-2026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46221</v>
      </c>
      <c r="F374" t="inlineStr">
        <is>
          <t>VÄSTRA GÖTALANDS LÄN</t>
        </is>
      </c>
      <c r="G374" t="inlineStr">
        <is>
          <t>ULRICEHAMN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58250-2025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46221</v>
      </c>
      <c r="F375" t="inlineStr">
        <is>
          <t>VÄSTRA GÖTALANDS LÄN</t>
        </is>
      </c>
      <c r="G375" t="inlineStr">
        <is>
          <t>ULRICEHAMN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12692-2026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46221</v>
      </c>
      <c r="F376" t="inlineStr">
        <is>
          <t>VÄSTRA GÖTALANDS LÄN</t>
        </is>
      </c>
      <c r="G376" t="inlineStr">
        <is>
          <t>ULRICEHAMN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42289-2023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45180</v>
      </c>
      <c r="E377" s="1" t="n">
        <v>46221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46221</v>
      </c>
      <c r="F378" t="inlineStr">
        <is>
          <t>VÄSTRA GÖTALANDS LÄN</t>
        </is>
      </c>
      <c r="G378" t="inlineStr">
        <is>
          <t>ULRICEHAMN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59820-2025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46221</v>
      </c>
      <c r="F379" t="inlineStr">
        <is>
          <t>VÄSTRA GÖTALANDS LÄN</t>
        </is>
      </c>
      <c r="G379" t="inlineStr">
        <is>
          <t>ULRICEHAMN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69114-2021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44530</v>
      </c>
      <c r="E380" s="1" t="n">
        <v>46221</v>
      </c>
      <c r="F380" t="inlineStr">
        <is>
          <t>VÄSTRA GÖTALANDS LÄN</t>
        </is>
      </c>
      <c r="G380" t="inlineStr">
        <is>
          <t>ULRICEHAMN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59618-2025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46221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59752-2025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46221</v>
      </c>
      <c r="F382" t="inlineStr">
        <is>
          <t>VÄSTRA GÖTALANDS LÄN</t>
        </is>
      </c>
      <c r="G382" t="inlineStr">
        <is>
          <t>ULRICEHAMN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59615-2025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46221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Sveaskog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16895-2023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45033</v>
      </c>
      <c r="E384" s="1" t="n">
        <v>46221</v>
      </c>
      <c r="F384" t="inlineStr">
        <is>
          <t>VÄSTRA GÖTALANDS LÄN</t>
        </is>
      </c>
      <c r="G384" t="inlineStr">
        <is>
          <t>ULRICEHAMN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59600-2025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46221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Sveaskog</t>
        </is>
      </c>
      <c r="I385" t="n">
        <v>27.9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36833-2024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46221</v>
      </c>
      <c r="F386" t="inlineStr">
        <is>
          <t>VÄSTRA GÖTALANDS LÄN</t>
        </is>
      </c>
      <c r="G386" t="inlineStr">
        <is>
          <t>ULRICEHAMN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60165-2025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46221</v>
      </c>
      <c r="F387" t="inlineStr">
        <is>
          <t>VÄSTRA GÖTALANDS LÄN</t>
        </is>
      </c>
      <c r="G387" t="inlineStr">
        <is>
          <t>ULRICEHAMN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60168-2025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46221</v>
      </c>
      <c r="F388" t="inlineStr">
        <is>
          <t>VÄSTRA GÖTALANDS LÄN</t>
        </is>
      </c>
      <c r="G388" t="inlineStr">
        <is>
          <t>ULRICEHAMN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50500-2024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46221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46221</v>
      </c>
      <c r="F390" t="inlineStr">
        <is>
          <t>VÄSTRA GÖTALANDS LÄN</t>
        </is>
      </c>
      <c r="G390" t="inlineStr">
        <is>
          <t>ULRICEHAMN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46221</v>
      </c>
      <c r="F391" t="inlineStr">
        <is>
          <t>VÄSTRA GÖTALANDS LÄN</t>
        </is>
      </c>
      <c r="G391" t="inlineStr">
        <is>
          <t>ULRICEHAMN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46221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60159-2025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46221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25769-2023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46221</v>
      </c>
      <c r="F394" t="inlineStr">
        <is>
          <t>VÄSTRA GÖTALANDS LÄN</t>
        </is>
      </c>
      <c r="G394" t="inlineStr">
        <is>
          <t>ULRICEHAMN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60704-2025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45996</v>
      </c>
      <c r="E395" s="1" t="n">
        <v>46221</v>
      </c>
      <c r="F395" t="inlineStr">
        <is>
          <t>VÄSTRA GÖTALANDS LÄN</t>
        </is>
      </c>
      <c r="G395" t="inlineStr">
        <is>
          <t>ULRICEHAMN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54519-2022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44882</v>
      </c>
      <c r="E396" s="1" t="n">
        <v>46221</v>
      </c>
      <c r="F396" t="inlineStr">
        <is>
          <t>VÄSTRA GÖTALANDS LÄN</t>
        </is>
      </c>
      <c r="G396" t="inlineStr">
        <is>
          <t>ULRICEHAMN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61773-2022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46221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Kommuner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60932-2025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46221</v>
      </c>
      <c r="F398" t="inlineStr">
        <is>
          <t>VÄSTRA GÖTALANDS LÄN</t>
        </is>
      </c>
      <c r="G398" t="inlineStr">
        <is>
          <t>ULRICEHAMN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46221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46221</v>
      </c>
      <c r="F400" t="inlineStr">
        <is>
          <t>VÄSTRA GÖTALANDS LÄN</t>
        </is>
      </c>
      <c r="G400" t="inlineStr">
        <is>
          <t>ULRICEHAMN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45086</v>
      </c>
      <c r="E401" s="1" t="n">
        <v>46221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48196-2022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46221</v>
      </c>
      <c r="F402" t="inlineStr">
        <is>
          <t>VÄSTRA GÖTALANDS LÄN</t>
        </is>
      </c>
      <c r="G402" t="inlineStr">
        <is>
          <t>ULRICEHAMN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46221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26749-2023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46221</v>
      </c>
      <c r="F404" t="inlineStr">
        <is>
          <t>VÄSTRA GÖTALANDS LÄN</t>
        </is>
      </c>
      <c r="G404" t="inlineStr">
        <is>
          <t>ULRICEHAMN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14599-2024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45395</v>
      </c>
      <c r="E405" s="1" t="n">
        <v>46221</v>
      </c>
      <c r="F405" t="inlineStr">
        <is>
          <t>VÄSTRA GÖTALANDS LÄN</t>
        </is>
      </c>
      <c r="G405" t="inlineStr">
        <is>
          <t>ULRICEHAMN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14661-2026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46221</v>
      </c>
      <c r="F406" t="inlineStr">
        <is>
          <t>VÄSTRA GÖTALANDS LÄN</t>
        </is>
      </c>
      <c r="G406" t="inlineStr">
        <is>
          <t>ULRICEHAMN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55765-2023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46221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17584-2025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46221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46221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46221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46221</v>
      </c>
      <c r="F411" t="inlineStr">
        <is>
          <t>VÄSTRA GÖTALANDS LÄN</t>
        </is>
      </c>
      <c r="G411" t="inlineStr">
        <is>
          <t>ULRICEHAMN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47724-2023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46221</v>
      </c>
      <c r="F412" t="inlineStr">
        <is>
          <t>VÄSTRA GÖTALANDS LÄN</t>
        </is>
      </c>
      <c r="G412" t="inlineStr">
        <is>
          <t>ULRICEHAMN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45590</v>
      </c>
      <c r="E413" s="1" t="n">
        <v>46221</v>
      </c>
      <c r="F413" t="inlineStr">
        <is>
          <t>VÄSTRA GÖTALANDS LÄN</t>
        </is>
      </c>
      <c r="G413" t="inlineStr">
        <is>
          <t>ULRICEHAMN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7020-2025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46221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Kyrkan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22609-2023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46221</v>
      </c>
      <c r="F415" t="inlineStr">
        <is>
          <t>VÄSTRA GÖTALANDS LÄN</t>
        </is>
      </c>
      <c r="G415" t="inlineStr">
        <is>
          <t>ULRICEHAMN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46221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9581-2025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45715</v>
      </c>
      <c r="E417" s="1" t="n">
        <v>46221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6320-2025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45698</v>
      </c>
      <c r="E418" s="1" t="n">
        <v>46221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6420-2025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45699</v>
      </c>
      <c r="E419" s="1" t="n">
        <v>46221</v>
      </c>
      <c r="F419" t="inlineStr">
        <is>
          <t>VÄSTRA GÖTALANDS LÄN</t>
        </is>
      </c>
      <c r="G419" t="inlineStr">
        <is>
          <t>ULRICEHAMN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50965-2024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46221</v>
      </c>
      <c r="F420" t="inlineStr">
        <is>
          <t>VÄSTRA GÖTALANDS LÄN</t>
        </is>
      </c>
      <c r="G420" t="inlineStr">
        <is>
          <t>ULRICEHAMN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50966-2024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46221</v>
      </c>
      <c r="F421" t="inlineStr">
        <is>
          <t>VÄSTRA GÖTALANDS LÄN</t>
        </is>
      </c>
      <c r="G421" t="inlineStr">
        <is>
          <t>ULRICEHAMN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46221</v>
      </c>
      <c r="F422" t="inlineStr">
        <is>
          <t>VÄSTRA GÖTALANDS LÄN</t>
        </is>
      </c>
      <c r="G422" t="inlineStr">
        <is>
          <t>ULRICEHAMN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45688</v>
      </c>
      <c r="E423" s="1" t="n">
        <v>46221</v>
      </c>
      <c r="F423" t="inlineStr">
        <is>
          <t>VÄSTRA GÖTALANDS LÄN</t>
        </is>
      </c>
      <c r="G423" t="inlineStr">
        <is>
          <t>ULRICEHAMN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46221</v>
      </c>
      <c r="F424" t="inlineStr">
        <is>
          <t>VÄSTRA GÖTALANDS LÄN</t>
        </is>
      </c>
      <c r="G424" t="inlineStr">
        <is>
          <t>ULRICEHAMN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11509-2025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46221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18656-2023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46221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30770-2023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46221</v>
      </c>
      <c r="F427" t="inlineStr">
        <is>
          <t>VÄSTRA GÖTALANDS LÄN</t>
        </is>
      </c>
      <c r="G427" t="inlineStr">
        <is>
          <t>ULRICEHAMN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23854-2023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46221</v>
      </c>
      <c r="F428" t="inlineStr">
        <is>
          <t>VÄSTRA GÖTALANDS LÄN</t>
        </is>
      </c>
      <c r="G428" t="inlineStr">
        <is>
          <t>ULRICEHAMN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45663</v>
      </c>
      <c r="E429" s="1" t="n">
        <v>46221</v>
      </c>
      <c r="F429" t="inlineStr">
        <is>
          <t>VÄSTRA GÖTALANDS LÄN</t>
        </is>
      </c>
      <c r="G429" t="inlineStr">
        <is>
          <t>ULRICEHAMN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46221</v>
      </c>
      <c r="F430" t="inlineStr">
        <is>
          <t>VÄSTRA GÖTALANDS LÄN</t>
        </is>
      </c>
      <c r="G430" t="inlineStr">
        <is>
          <t>ULRICEHAMN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46221</v>
      </c>
      <c r="F431" t="inlineStr">
        <is>
          <t>VÄSTRA GÖTALANDS LÄN</t>
        </is>
      </c>
      <c r="G431" t="inlineStr">
        <is>
          <t>ULRICEHAMN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14911-2023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46221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46221</v>
      </c>
      <c r="F433" t="inlineStr">
        <is>
          <t>VÄSTRA GÖTALANDS LÄN</t>
        </is>
      </c>
      <c r="G433" t="inlineStr">
        <is>
          <t>ULRICEHAMN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56120-2021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44477</v>
      </c>
      <c r="E434" s="1" t="n">
        <v>46221</v>
      </c>
      <c r="F434" t="inlineStr">
        <is>
          <t>VÄSTRA GÖTALANDS LÄN</t>
        </is>
      </c>
      <c r="G434" t="inlineStr">
        <is>
          <t>ULRICEHAMN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19867-2022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46221</v>
      </c>
      <c r="F435" t="inlineStr">
        <is>
          <t>VÄSTRA GÖTALANDS LÄN</t>
        </is>
      </c>
      <c r="G435" t="inlineStr">
        <is>
          <t>ULRICEHAMN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44944</v>
      </c>
      <c r="E436" s="1" t="n">
        <v>46221</v>
      </c>
      <c r="F436" t="inlineStr">
        <is>
          <t>VÄSTRA GÖTALANDS LÄN</t>
        </is>
      </c>
      <c r="G436" t="inlineStr">
        <is>
          <t>ULRICEHAMN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2309-2022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44578</v>
      </c>
      <c r="E437" s="1" t="n">
        <v>46221</v>
      </c>
      <c r="F437" t="inlineStr">
        <is>
          <t>VÄSTRA GÖTALANDS LÄN</t>
        </is>
      </c>
      <c r="G437" t="inlineStr">
        <is>
          <t>ULRICEHAMN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40031-2023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45168</v>
      </c>
      <c r="E438" s="1" t="n">
        <v>46221</v>
      </c>
      <c r="F438" t="inlineStr">
        <is>
          <t>VÄSTRA GÖTALANDS LÄN</t>
        </is>
      </c>
      <c r="G438" t="inlineStr">
        <is>
          <t>ULRICEHAMN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40035-2023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45168</v>
      </c>
      <c r="E439" s="1" t="n">
        <v>46221</v>
      </c>
      <c r="F439" t="inlineStr">
        <is>
          <t>VÄSTRA GÖTALANDS LÄN</t>
        </is>
      </c>
      <c r="G439" t="inlineStr">
        <is>
          <t>ULRICEHAMN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38182-2023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45161</v>
      </c>
      <c r="E440" s="1" t="n">
        <v>46221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38640-2023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45162</v>
      </c>
      <c r="E441" s="1" t="n">
        <v>46221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16275-2025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45750</v>
      </c>
      <c r="E442" s="1" t="n">
        <v>46221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9994-2024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45363</v>
      </c>
      <c r="E443" s="1" t="n">
        <v>46221</v>
      </c>
      <c r="F443" t="inlineStr">
        <is>
          <t>VÄSTRA GÖTALANDS LÄN</t>
        </is>
      </c>
      <c r="G443" t="inlineStr">
        <is>
          <t>ULRICEHAMN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38666-2023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46221</v>
      </c>
      <c r="F444" t="inlineStr">
        <is>
          <t>VÄSTRA GÖTALANDS LÄN</t>
        </is>
      </c>
      <c r="G444" t="inlineStr">
        <is>
          <t>ULRICEHAMN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44947</v>
      </c>
      <c r="E445" s="1" t="n">
        <v>46221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44959</v>
      </c>
      <c r="E446" s="1" t="n">
        <v>46221</v>
      </c>
      <c r="F446" t="inlineStr">
        <is>
          <t>VÄSTRA GÖTALANDS LÄN</t>
        </is>
      </c>
      <c r="G446" t="inlineStr">
        <is>
          <t>ULRICEHAMN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7386-2023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44971</v>
      </c>
      <c r="E447" s="1" t="n">
        <v>46221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16657-2026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46221</v>
      </c>
      <c r="F448" t="inlineStr">
        <is>
          <t>VÄSTRA GÖTALANDS LÄN</t>
        </is>
      </c>
      <c r="G448" t="inlineStr">
        <is>
          <t>ULRICEHAMN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17114-2026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46221</v>
      </c>
      <c r="F449" t="inlineStr">
        <is>
          <t>VÄSTRA GÖTALANDS LÄN</t>
        </is>
      </c>
      <c r="G449" t="inlineStr">
        <is>
          <t>ULRICEHAMN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37499-2023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45157</v>
      </c>
      <c r="E450" s="1" t="n">
        <v>46221</v>
      </c>
      <c r="F450" t="inlineStr">
        <is>
          <t>VÄSTRA GÖTALANDS LÄN</t>
        </is>
      </c>
      <c r="G450" t="inlineStr">
        <is>
          <t>ULRICEHAMN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17193-2026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46118</v>
      </c>
      <c r="E451" s="1" t="n">
        <v>46221</v>
      </c>
      <c r="F451" t="inlineStr">
        <is>
          <t>VÄSTRA GÖTALANDS LÄN</t>
        </is>
      </c>
      <c r="G451" t="inlineStr">
        <is>
          <t>ULRICEHAMN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6438-2024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46221</v>
      </c>
      <c r="F452" t="inlineStr">
        <is>
          <t>VÄSTRA GÖTALANDS LÄN</t>
        </is>
      </c>
      <c r="G452" t="inlineStr">
        <is>
          <t>ULRICEHAMN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33890-2023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45134</v>
      </c>
      <c r="E453" s="1" t="n">
        <v>46221</v>
      </c>
      <c r="F453" t="inlineStr">
        <is>
          <t>VÄSTRA GÖTALANDS LÄN</t>
        </is>
      </c>
      <c r="G453" t="inlineStr">
        <is>
          <t>ULRICEHAMN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42400-2023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45180</v>
      </c>
      <c r="E454" s="1" t="n">
        <v>46221</v>
      </c>
      <c r="F454" t="inlineStr">
        <is>
          <t>VÄSTRA GÖTALANDS LÄN</t>
        </is>
      </c>
      <c r="G454" t="inlineStr">
        <is>
          <t>ULRICEHAMN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46221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25173-2023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46221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17989-2026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46124</v>
      </c>
      <c r="E457" s="1" t="n">
        <v>46221</v>
      </c>
      <c r="F457" t="inlineStr">
        <is>
          <t>VÄSTRA GÖTALANDS LÄN</t>
        </is>
      </c>
      <c r="G457" t="inlineStr">
        <is>
          <t>ULRICEHAMN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18079-2026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46221</v>
      </c>
      <c r="F458" t="inlineStr">
        <is>
          <t>VÄSTRA GÖTALANDS LÄN</t>
        </is>
      </c>
      <c r="G458" t="inlineStr">
        <is>
          <t>ULRICEHAMN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60409-2024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45643</v>
      </c>
      <c r="E459" s="1" t="n">
        <v>46221</v>
      </c>
      <c r="F459" t="inlineStr">
        <is>
          <t>VÄSTRA GÖTALANDS LÄN</t>
        </is>
      </c>
      <c r="G459" t="inlineStr">
        <is>
          <t>ULRICEHAMN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53088-2023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45227</v>
      </c>
      <c r="E460" s="1" t="n">
        <v>46221</v>
      </c>
      <c r="F460" t="inlineStr">
        <is>
          <t>VÄSTRA GÖTALANDS LÄN</t>
        </is>
      </c>
      <c r="G460" t="inlineStr">
        <is>
          <t>ULRICEHAMN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15120-2024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45399</v>
      </c>
      <c r="E461" s="1" t="n">
        <v>46221</v>
      </c>
      <c r="F461" t="inlineStr">
        <is>
          <t>VÄSTRA GÖTALANDS LÄN</t>
        </is>
      </c>
      <c r="G461" t="inlineStr">
        <is>
          <t>ULRICEHAMN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43943-2023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46221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18569-2023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45043</v>
      </c>
      <c r="E463" s="1" t="n">
        <v>46221</v>
      </c>
      <c r="F463" t="inlineStr">
        <is>
          <t>VÄSTRA GÖTALANDS LÄN</t>
        </is>
      </c>
      <c r="G463" t="inlineStr">
        <is>
          <t>ULRICEHAMN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4284-2024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46221</v>
      </c>
      <c r="F464" t="inlineStr">
        <is>
          <t>VÄSTRA GÖTALANDS LÄN</t>
        </is>
      </c>
      <c r="G464" t="inlineStr">
        <is>
          <t>ULRICEHAMN</t>
        </is>
      </c>
      <c r="H464" t="inlineStr">
        <is>
          <t>Kyrkan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18745-2026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46221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Kyrkan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38587-2023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46221</v>
      </c>
      <c r="F466" t="inlineStr">
        <is>
          <t>VÄSTRA GÖTALANDS LÄN</t>
        </is>
      </c>
      <c r="G466" t="inlineStr">
        <is>
          <t>ULRICEHAMN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18743-2026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46221</v>
      </c>
      <c r="F467" t="inlineStr">
        <is>
          <t>VÄSTRA GÖTALANDS LÄN</t>
        </is>
      </c>
      <c r="G467" t="inlineStr">
        <is>
          <t>ULRICEHAMN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38775-2023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46221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38563-2023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46221</v>
      </c>
      <c r="F469" t="inlineStr">
        <is>
          <t>VÄSTRA GÖTALANDS LÄN</t>
        </is>
      </c>
      <c r="G469" t="inlineStr">
        <is>
          <t>ULRICEHAMN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45659</v>
      </c>
      <c r="E470" s="1" t="n">
        <v>46221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46947-2024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45585</v>
      </c>
      <c r="E471" s="1" t="n">
        <v>46221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46171-2025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46221</v>
      </c>
      <c r="F472" t="inlineStr">
        <is>
          <t>VÄSTRA GÖTALANDS LÄN</t>
        </is>
      </c>
      <c r="G472" t="inlineStr">
        <is>
          <t>ULRICEHAMN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55364-2024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45621</v>
      </c>
      <c r="E473" s="1" t="n">
        <v>46221</v>
      </c>
      <c r="F473" t="inlineStr">
        <is>
          <t>VÄSTRA GÖTALANDS LÄN</t>
        </is>
      </c>
      <c r="G473" t="inlineStr">
        <is>
          <t>ULRICEHAMN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51723-2024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45607</v>
      </c>
      <c r="E474" s="1" t="n">
        <v>46221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46221</v>
      </c>
      <c r="F475" t="inlineStr">
        <is>
          <t>VÄSTRA GÖTALANDS LÄN</t>
        </is>
      </c>
      <c r="G475" t="inlineStr">
        <is>
          <t>ULRICEHAMN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45059</v>
      </c>
      <c r="E476" s="1" t="n">
        <v>46221</v>
      </c>
      <c r="F476" t="inlineStr">
        <is>
          <t>VÄSTRA GÖTALANDS LÄN</t>
        </is>
      </c>
      <c r="G476" t="inlineStr">
        <is>
          <t>ULRICEHAMN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20891-2023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45059</v>
      </c>
      <c r="E477" s="1" t="n">
        <v>46221</v>
      </c>
      <c r="F477" t="inlineStr">
        <is>
          <t>VÄSTRA GÖTALANDS LÄN</t>
        </is>
      </c>
      <c r="G477" t="inlineStr">
        <is>
          <t>ULRICEHAMN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40684-2024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46221</v>
      </c>
      <c r="F478" t="inlineStr">
        <is>
          <t>VÄSTRA GÖTALANDS LÄN</t>
        </is>
      </c>
      <c r="G478" t="inlineStr">
        <is>
          <t>ULRICEHAMN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15736-2022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44663</v>
      </c>
      <c r="E479" s="1" t="n">
        <v>46221</v>
      </c>
      <c r="F479" t="inlineStr">
        <is>
          <t>VÄSTRA GÖTALANDS LÄN</t>
        </is>
      </c>
      <c r="G479" t="inlineStr">
        <is>
          <t>ULRICEHAMN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40365-2025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45895</v>
      </c>
      <c r="E480" s="1" t="n">
        <v>46221</v>
      </c>
      <c r="F480" t="inlineStr">
        <is>
          <t>VÄSTRA GÖTALANDS LÄN</t>
        </is>
      </c>
      <c r="G480" t="inlineStr">
        <is>
          <t>ULRICEHAMN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12169-2024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46221</v>
      </c>
      <c r="F481" t="inlineStr">
        <is>
          <t>VÄSTRA GÖTALANDS LÄN</t>
        </is>
      </c>
      <c r="G481" t="inlineStr">
        <is>
          <t>ULRICEHAMN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12170-2024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45377</v>
      </c>
      <c r="E482" s="1" t="n">
        <v>46221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12173-2024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45377</v>
      </c>
      <c r="E483" s="1" t="n">
        <v>46221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27255-2024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45471</v>
      </c>
      <c r="E484" s="1" t="n">
        <v>46221</v>
      </c>
      <c r="F484" t="inlineStr">
        <is>
          <t>VÄSTRA GÖTALANDS LÄN</t>
        </is>
      </c>
      <c r="G484" t="inlineStr">
        <is>
          <t>ULRICEHAMN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40996-2024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45558</v>
      </c>
      <c r="E485" s="1" t="n">
        <v>46221</v>
      </c>
      <c r="F485" t="inlineStr">
        <is>
          <t>VÄSTRA GÖTALANDS LÄN</t>
        </is>
      </c>
      <c r="G485" t="inlineStr">
        <is>
          <t>ULRICEHAMN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74199-2021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44558</v>
      </c>
      <c r="E486" s="1" t="n">
        <v>46221</v>
      </c>
      <c r="F486" t="inlineStr">
        <is>
          <t>VÄSTRA GÖTALANDS LÄN</t>
        </is>
      </c>
      <c r="G486" t="inlineStr">
        <is>
          <t>ULRICEHAMN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45139-2023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46221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46221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7526-2022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46221</v>
      </c>
      <c r="F489" t="inlineStr">
        <is>
          <t>VÄSTRA GÖTALANDS LÄN</t>
        </is>
      </c>
      <c r="G489" t="inlineStr">
        <is>
          <t>ULRICEHAMN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7528-2022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44607</v>
      </c>
      <c r="E490" s="1" t="n">
        <v>46221</v>
      </c>
      <c r="F490" t="inlineStr">
        <is>
          <t>VÄSTRA GÖTALANDS LÄN</t>
        </is>
      </c>
      <c r="G490" t="inlineStr">
        <is>
          <t>ULRICEHAMN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64733-2023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46221</v>
      </c>
      <c r="F491" t="inlineStr">
        <is>
          <t>VÄSTRA GÖTALANDS LÄN</t>
        </is>
      </c>
      <c r="G491" t="inlineStr">
        <is>
          <t>ULRICEHAMN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30664-2022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44763</v>
      </c>
      <c r="E492" s="1" t="n">
        <v>46221</v>
      </c>
      <c r="F492" t="inlineStr">
        <is>
          <t>VÄSTRA GÖTALANDS LÄN</t>
        </is>
      </c>
      <c r="G492" t="inlineStr">
        <is>
          <t>ULRICEHAMN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16990-2024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46221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51161-2024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46221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46221</v>
      </c>
      <c r="F495" t="inlineStr">
        <is>
          <t>VÄSTRA GÖTALANDS LÄN</t>
        </is>
      </c>
      <c r="G495" t="inlineStr">
        <is>
          <t>ULRICEHAMN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52717-2023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45225</v>
      </c>
      <c r="E496" s="1" t="n">
        <v>46221</v>
      </c>
      <c r="F496" t="inlineStr">
        <is>
          <t>VÄSTRA GÖTALANDS LÄN</t>
        </is>
      </c>
      <c r="G496" t="inlineStr">
        <is>
          <t>ULRICEHAMN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42677-2023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46221</v>
      </c>
      <c r="F497" t="inlineStr">
        <is>
          <t>VÄSTRA GÖTALANDS LÄN</t>
        </is>
      </c>
      <c r="G497" t="inlineStr">
        <is>
          <t>ULRICEHAMN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7267-2024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45344</v>
      </c>
      <c r="E498" s="1" t="n">
        <v>46221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40988-2023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46221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39145-2023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46221</v>
      </c>
      <c r="F500" t="inlineStr">
        <is>
          <t>VÄSTRA GÖTALANDS LÄN</t>
        </is>
      </c>
      <c r="G500" t="inlineStr">
        <is>
          <t>ULRICEHAMN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46221</v>
      </c>
      <c r="F501" t="inlineStr">
        <is>
          <t>VÄSTRA GÖTALANDS LÄN</t>
        </is>
      </c>
      <c r="G501" t="inlineStr">
        <is>
          <t>ULRICEHAMN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46910-2023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46221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45478-2023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45194</v>
      </c>
      <c r="E503" s="1" t="n">
        <v>46221</v>
      </c>
      <c r="F503" t="inlineStr">
        <is>
          <t>VÄSTRA GÖTALANDS LÄN</t>
        </is>
      </c>
      <c r="G503" t="inlineStr">
        <is>
          <t>ULRICEHAMN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45479-2023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46221</v>
      </c>
      <c r="F504" t="inlineStr">
        <is>
          <t>VÄSTRA GÖTALANDS LÄN</t>
        </is>
      </c>
      <c r="G504" t="inlineStr">
        <is>
          <t>ULRICEHAMN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39473-2023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46221</v>
      </c>
      <c r="F505" t="inlineStr">
        <is>
          <t>VÄSTRA GÖTALANDS LÄN</t>
        </is>
      </c>
      <c r="G505" t="inlineStr">
        <is>
          <t>ULRICEHAMN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39476-2023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46221</v>
      </c>
      <c r="F506" t="inlineStr">
        <is>
          <t>VÄSTRA GÖTALANDS LÄN</t>
        </is>
      </c>
      <c r="G506" t="inlineStr">
        <is>
          <t>ULRICEHAMN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12934-2022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44642</v>
      </c>
      <c r="E507" s="1" t="n">
        <v>46221</v>
      </c>
      <c r="F507" t="inlineStr">
        <is>
          <t>VÄSTRA GÖTALANDS LÄN</t>
        </is>
      </c>
      <c r="G507" t="inlineStr">
        <is>
          <t>ULRICEHAMN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39464-2023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45166</v>
      </c>
      <c r="E508" s="1" t="n">
        <v>46221</v>
      </c>
      <c r="F508" t="inlineStr">
        <is>
          <t>VÄSTRA GÖTALANDS LÄN</t>
        </is>
      </c>
      <c r="G508" t="inlineStr">
        <is>
          <t>ULRICEHAMN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12551-2022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44638</v>
      </c>
      <c r="E509" s="1" t="n">
        <v>46221</v>
      </c>
      <c r="F509" t="inlineStr">
        <is>
          <t>VÄSTRA GÖTALANDS LÄN</t>
        </is>
      </c>
      <c r="G509" t="inlineStr">
        <is>
          <t>ULRICEHAMN</t>
        </is>
      </c>
      <c r="H509" t="inlineStr">
        <is>
          <t>Kommuner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12553-2022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44638</v>
      </c>
      <c r="E510" s="1" t="n">
        <v>46221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20418-2026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46221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53829-2023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46221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Kommuner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46221</v>
      </c>
      <c r="F513" t="inlineStr">
        <is>
          <t>VÄSTRA GÖTALANDS LÄN</t>
        </is>
      </c>
      <c r="G513" t="inlineStr">
        <is>
          <t>ULRICEHAMN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46837-2023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45199</v>
      </c>
      <c r="E514" s="1" t="n">
        <v>46221</v>
      </c>
      <c r="F514" t="inlineStr">
        <is>
          <t>VÄSTRA GÖTALANDS LÄN</t>
        </is>
      </c>
      <c r="G514" t="inlineStr">
        <is>
          <t>ULRICEHAMN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43873-2023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46221</v>
      </c>
      <c r="F515" t="inlineStr">
        <is>
          <t>VÄSTRA GÖTALANDS LÄN</t>
        </is>
      </c>
      <c r="G515" t="inlineStr">
        <is>
          <t>ULRICEHAMN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41572-2024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45560</v>
      </c>
      <c r="E516" s="1" t="n">
        <v>46221</v>
      </c>
      <c r="F516" t="inlineStr">
        <is>
          <t>VÄSTRA GÖTALANDS LÄN</t>
        </is>
      </c>
      <c r="G516" t="inlineStr">
        <is>
          <t>ULRICEHAMN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18919-2024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45427</v>
      </c>
      <c r="E517" s="1" t="n">
        <v>46221</v>
      </c>
      <c r="F517" t="inlineStr">
        <is>
          <t>VÄSTRA GÖTALANDS LÄN</t>
        </is>
      </c>
      <c r="G517" t="inlineStr">
        <is>
          <t>ULRICEHAMN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27865-2023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46221</v>
      </c>
      <c r="F518" t="inlineStr">
        <is>
          <t>VÄSTRA GÖTALANDS LÄN</t>
        </is>
      </c>
      <c r="G518" t="inlineStr">
        <is>
          <t>ULRICEHAMN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19038-2024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45427</v>
      </c>
      <c r="E519" s="1" t="n">
        <v>46221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45666</v>
      </c>
      <c r="E520" s="1" t="n">
        <v>46221</v>
      </c>
      <c r="F520" t="inlineStr">
        <is>
          <t>VÄSTRA GÖTALANDS LÄN</t>
        </is>
      </c>
      <c r="G520" t="inlineStr">
        <is>
          <t>ULRICEHAMN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2664-2025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45676</v>
      </c>
      <c r="E521" s="1" t="n">
        <v>46221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26307-2026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46221</v>
      </c>
      <c r="F522" t="inlineStr">
        <is>
          <t>VÄSTRA GÖTALANDS LÄN</t>
        </is>
      </c>
      <c r="G522" t="inlineStr">
        <is>
          <t>ULRICEHAMN</t>
        </is>
      </c>
      <c r="H522" t="inlineStr">
        <is>
          <t>Sveaskog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39454-2023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46221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26308-2026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46221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Sveaskog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8608-2025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45710</v>
      </c>
      <c r="E525" s="1" t="n">
        <v>46221</v>
      </c>
      <c r="F525" t="inlineStr">
        <is>
          <t>VÄSTRA GÖTALANDS LÄN</t>
        </is>
      </c>
      <c r="G525" t="inlineStr">
        <is>
          <t>ULRICEHAMN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45140</v>
      </c>
      <c r="E526" s="1" t="n">
        <v>46221</v>
      </c>
      <c r="F526" t="inlineStr">
        <is>
          <t>VÄSTRA GÖTALANDS LÄN</t>
        </is>
      </c>
      <c r="G526" t="inlineStr">
        <is>
          <t>ULRICEHAMN</t>
        </is>
      </c>
      <c r="I526" t="n">
        <v>17.6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34771-2023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45140</v>
      </c>
      <c r="E527" s="1" t="n">
        <v>46221</v>
      </c>
      <c r="F527" t="inlineStr">
        <is>
          <t>VÄSTRA GÖTALANDS LÄN</t>
        </is>
      </c>
      <c r="G527" t="inlineStr">
        <is>
          <t>ULRICEHAMN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34773-2023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45140</v>
      </c>
      <c r="E528" s="1" t="n">
        <v>46221</v>
      </c>
      <c r="F528" t="inlineStr">
        <is>
          <t>VÄSTRA GÖTALANDS LÄN</t>
        </is>
      </c>
      <c r="G528" t="inlineStr">
        <is>
          <t>ULRICEHAMN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45647-2022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44845</v>
      </c>
      <c r="E529" s="1" t="n">
        <v>46221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44658</v>
      </c>
      <c r="E530" s="1" t="n">
        <v>46221</v>
      </c>
      <c r="F530" t="inlineStr">
        <is>
          <t>VÄSTRA GÖTALANDS LÄN</t>
        </is>
      </c>
      <c r="G530" t="inlineStr">
        <is>
          <t>ULRICEHAMN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55448-2023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45231</v>
      </c>
      <c r="E531" s="1" t="n">
        <v>46221</v>
      </c>
      <c r="F531" t="inlineStr">
        <is>
          <t>VÄSTRA GÖTALANDS LÄN</t>
        </is>
      </c>
      <c r="G531" t="inlineStr">
        <is>
          <t>ULRICEHAMN</t>
        </is>
      </c>
      <c r="I531" t="n">
        <v>14.7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56670-2024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45626</v>
      </c>
      <c r="E532" s="1" t="n">
        <v>46221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56672-2024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45626</v>
      </c>
      <c r="E533" s="1" t="n">
        <v>46221</v>
      </c>
      <c r="F533" t="inlineStr">
        <is>
          <t>VÄSTRA GÖTALANDS LÄN</t>
        </is>
      </c>
      <c r="G533" t="inlineStr">
        <is>
          <t>ULRICEHAMN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56676-2024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45626</v>
      </c>
      <c r="E534" s="1" t="n">
        <v>46221</v>
      </c>
      <c r="F534" t="inlineStr">
        <is>
          <t>VÄSTRA GÖTALANDS LÄN</t>
        </is>
      </c>
      <c r="G534" t="inlineStr">
        <is>
          <t>ULRICEHAMN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46221</v>
      </c>
      <c r="F535" t="inlineStr">
        <is>
          <t>VÄSTRA GÖTALANDS LÄN</t>
        </is>
      </c>
      <c r="G535" t="inlineStr">
        <is>
          <t>ULRICEHAMN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54405-2023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45233</v>
      </c>
      <c r="E536" s="1" t="n">
        <v>46221</v>
      </c>
      <c r="F536" t="inlineStr">
        <is>
          <t>VÄSTRA GÖTALANDS LÄN</t>
        </is>
      </c>
      <c r="G536" t="inlineStr">
        <is>
          <t>ULRICEHAMN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30057-2025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45826</v>
      </c>
      <c r="E537" s="1" t="n">
        <v>46221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3820-2025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46221</v>
      </c>
      <c r="F538" t="inlineStr">
        <is>
          <t>VÄSTRA GÖTALANDS LÄN</t>
        </is>
      </c>
      <c r="G538" t="inlineStr">
        <is>
          <t>ULRICEHAMN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26135-2026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46221</v>
      </c>
      <c r="F539" t="inlineStr">
        <is>
          <t>VÄSTRA GÖTALANDS LÄN</t>
        </is>
      </c>
      <c r="G539" t="inlineStr">
        <is>
          <t>ULRICEHAMN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46221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24301-2025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45797</v>
      </c>
      <c r="E541" s="1" t="n">
        <v>46221</v>
      </c>
      <c r="F541" t="inlineStr">
        <is>
          <t>VÄSTRA GÖTALANDS LÄN</t>
        </is>
      </c>
      <c r="G541" t="inlineStr">
        <is>
          <t>ULRICEHAMN</t>
        </is>
      </c>
      <c r="H541" t="inlineStr">
        <is>
          <t>Sveaskog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59749-2025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46221</v>
      </c>
      <c r="F542" t="inlineStr">
        <is>
          <t>VÄSTRA GÖTALANDS LÄN</t>
        </is>
      </c>
      <c r="G542" t="inlineStr">
        <is>
          <t>ULRICEHAMN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54904-2023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46221</v>
      </c>
      <c r="F543" t="inlineStr">
        <is>
          <t>VÄSTRA GÖTALANDS LÄN</t>
        </is>
      </c>
      <c r="G543" t="inlineStr">
        <is>
          <t>ULRICEHAMN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54912-2023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46221</v>
      </c>
      <c r="F544" t="inlineStr">
        <is>
          <t>VÄSTRA GÖTALANDS LÄN</t>
        </is>
      </c>
      <c r="G544" t="inlineStr">
        <is>
          <t>ULRICEHAMN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14660-2026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46221</v>
      </c>
      <c r="F545" t="inlineStr">
        <is>
          <t>VÄSTRA GÖTALANDS LÄN</t>
        </is>
      </c>
      <c r="G545" t="inlineStr">
        <is>
          <t>ULRICEHAMN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46493-2023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45197</v>
      </c>
      <c r="E546" s="1" t="n">
        <v>46221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56793-2023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46221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49506-2023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46221</v>
      </c>
      <c r="F548" t="inlineStr">
        <is>
          <t>VÄSTRA GÖTALANDS LÄN</t>
        </is>
      </c>
      <c r="G548" t="inlineStr">
        <is>
          <t>ULRICEHAMN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46221</v>
      </c>
      <c r="F549" t="inlineStr">
        <is>
          <t>VÄSTRA GÖTALANDS LÄN</t>
        </is>
      </c>
      <c r="G549" t="inlineStr">
        <is>
          <t>ULRICEHAMN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46221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38539-2023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46221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40650-2022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44824</v>
      </c>
      <c r="E552" s="1" t="n">
        <v>46221</v>
      </c>
      <c r="F552" t="inlineStr">
        <is>
          <t>VÄSTRA GÖTALANDS LÄN</t>
        </is>
      </c>
      <c r="G552" t="inlineStr">
        <is>
          <t>ULRICEHAMN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21071-2026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46221</v>
      </c>
      <c r="F553" t="inlineStr">
        <is>
          <t>VÄSTRA GÖTALANDS LÄN</t>
        </is>
      </c>
      <c r="G553" t="inlineStr">
        <is>
          <t>ULRICEHAMN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64794-2023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45282</v>
      </c>
      <c r="E554" s="1" t="n">
        <v>46221</v>
      </c>
      <c r="F554" t="inlineStr">
        <is>
          <t>VÄSTRA GÖTALANDS LÄN</t>
        </is>
      </c>
      <c r="G554" t="inlineStr">
        <is>
          <t>ULRICEHAMN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44463-2023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45189</v>
      </c>
      <c r="E555" s="1" t="n">
        <v>46221</v>
      </c>
      <c r="F555" t="inlineStr">
        <is>
          <t>VÄSTRA GÖTALANDS LÄN</t>
        </is>
      </c>
      <c r="G555" t="inlineStr">
        <is>
          <t>ULRICEHAMN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55763-2023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45239</v>
      </c>
      <c r="E556" s="1" t="n">
        <v>46221</v>
      </c>
      <c r="F556" t="inlineStr">
        <is>
          <t>VÄSTRA GÖTALANDS LÄN</t>
        </is>
      </c>
      <c r="G556" t="inlineStr">
        <is>
          <t>ULRICEHAMN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57854-2023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45247</v>
      </c>
      <c r="E557" s="1" t="n">
        <v>46221</v>
      </c>
      <c r="F557" t="inlineStr">
        <is>
          <t>VÄSTRA GÖTALANDS LÄN</t>
        </is>
      </c>
      <c r="G557" t="inlineStr">
        <is>
          <t>ULRICEHAMN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24922-2024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45461</v>
      </c>
      <c r="E558" s="1" t="n">
        <v>46221</v>
      </c>
      <c r="F558" t="inlineStr">
        <is>
          <t>VÄSTRA GÖTALANDS LÄN</t>
        </is>
      </c>
      <c r="G558" t="inlineStr">
        <is>
          <t>ULRICEHAMN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44930-2023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45190</v>
      </c>
      <c r="E559" s="1" t="n">
        <v>46221</v>
      </c>
      <c r="F559" t="inlineStr">
        <is>
          <t>VÄSTRA GÖTALANDS LÄN</t>
        </is>
      </c>
      <c r="G559" t="inlineStr">
        <is>
          <t>ULRICEHAMN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53097-2023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45227</v>
      </c>
      <c r="E560" s="1" t="n">
        <v>46221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46310-2022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44847</v>
      </c>
      <c r="E561" s="1" t="n">
        <v>46221</v>
      </c>
      <c r="F561" t="inlineStr">
        <is>
          <t>VÄSTRA GÖTALANDS LÄN</t>
        </is>
      </c>
      <c r="G561" t="inlineStr">
        <is>
          <t>ULRICEHAMN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27557-2026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46221</v>
      </c>
      <c r="F562" t="inlineStr">
        <is>
          <t>VÄSTRA GÖTALANDS LÄN</t>
        </is>
      </c>
      <c r="G562" t="inlineStr">
        <is>
          <t>ULRICEHAMN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27650-2026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46221</v>
      </c>
      <c r="F563" t="inlineStr">
        <is>
          <t>VÄSTRA GÖTALANDS LÄN</t>
        </is>
      </c>
      <c r="G563" t="inlineStr">
        <is>
          <t>ULRICEHAMN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44593</v>
      </c>
      <c r="E564" s="1" t="n">
        <v>46221</v>
      </c>
      <c r="F564" t="inlineStr">
        <is>
          <t>VÄSTRA GÖTALANDS LÄN</t>
        </is>
      </c>
      <c r="G564" t="inlineStr">
        <is>
          <t>ULRICEHAMN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31298-2022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44772</v>
      </c>
      <c r="E565" s="1" t="n">
        <v>46221</v>
      </c>
      <c r="F565" t="inlineStr">
        <is>
          <t>VÄSTRA GÖTALANDS LÄN</t>
        </is>
      </c>
      <c r="G565" t="inlineStr">
        <is>
          <t>ULRICEHAMN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46221</v>
      </c>
      <c r="F566" t="inlineStr">
        <is>
          <t>VÄSTRA GÖTALANDS LÄN</t>
        </is>
      </c>
      <c r="G566" t="inlineStr">
        <is>
          <t>ULRICEHAMN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59990-2023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46221</v>
      </c>
      <c r="F567" t="inlineStr">
        <is>
          <t>VÄSTRA GÖTALANDS LÄN</t>
        </is>
      </c>
      <c r="G567" t="inlineStr">
        <is>
          <t>ULRICEHAMN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46221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46221</v>
      </c>
      <c r="F569" t="inlineStr">
        <is>
          <t>VÄSTRA GÖTALANDS LÄN</t>
        </is>
      </c>
      <c r="G569" t="inlineStr">
        <is>
          <t>ULRICEHAMN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8977-2024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46221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17870-2023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45038</v>
      </c>
      <c r="E571" s="1" t="n">
        <v>46221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27824-2026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46221</v>
      </c>
      <c r="F572" t="inlineStr">
        <is>
          <t>VÄSTRA GÖTALANDS LÄN</t>
        </is>
      </c>
      <c r="G572" t="inlineStr">
        <is>
          <t>ULRICEHAMN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25340-2023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45087</v>
      </c>
      <c r="E573" s="1" t="n">
        <v>46221</v>
      </c>
      <c r="F573" t="inlineStr">
        <is>
          <t>VÄSTRA GÖTALANDS LÄN</t>
        </is>
      </c>
      <c r="G573" t="inlineStr">
        <is>
          <t>ULRICEHAMN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15289-2025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45745</v>
      </c>
      <c r="E574" s="1" t="n">
        <v>46221</v>
      </c>
      <c r="F574" t="inlineStr">
        <is>
          <t>VÄSTRA GÖTALANDS LÄN</t>
        </is>
      </c>
      <c r="G574" t="inlineStr">
        <is>
          <t>ULRICEHAMN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57173-2023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45245</v>
      </c>
      <c r="E575" s="1" t="n">
        <v>46221</v>
      </c>
      <c r="F575" t="inlineStr">
        <is>
          <t>VÄSTRA GÖTALANDS LÄN</t>
        </is>
      </c>
      <c r="G575" t="inlineStr">
        <is>
          <t>ULRICEHAMN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21878-2026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46221</v>
      </c>
      <c r="F576" t="inlineStr">
        <is>
          <t>VÄSTRA GÖTALANDS LÄN</t>
        </is>
      </c>
      <c r="G576" t="inlineStr">
        <is>
          <t>ULRICEHAMN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64734-2023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45281</v>
      </c>
      <c r="E577" s="1" t="n">
        <v>46221</v>
      </c>
      <c r="F577" t="inlineStr">
        <is>
          <t>VÄSTRA GÖTALANDS LÄN</t>
        </is>
      </c>
      <c r="G577" t="inlineStr">
        <is>
          <t>ULRICEHAMN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64736-2023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45281</v>
      </c>
      <c r="E578" s="1" t="n">
        <v>46221</v>
      </c>
      <c r="F578" t="inlineStr">
        <is>
          <t>VÄSTRA GÖTALANDS LÄN</t>
        </is>
      </c>
      <c r="G578" t="inlineStr">
        <is>
          <t>ULRICEHAMN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64738-2023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45281</v>
      </c>
      <c r="E579" s="1" t="n">
        <v>46221</v>
      </c>
      <c r="F579" t="inlineStr">
        <is>
          <t>VÄSTRA GÖTALANDS LÄN</t>
        </is>
      </c>
      <c r="G579" t="inlineStr">
        <is>
          <t>ULRICEHAMN</t>
        </is>
      </c>
      <c r="I579" t="n">
        <v>14.1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59802-2023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45257</v>
      </c>
      <c r="E580" s="1" t="n">
        <v>46221</v>
      </c>
      <c r="F580" t="inlineStr">
        <is>
          <t>VÄSTRA GÖTALANDS LÄN</t>
        </is>
      </c>
      <c r="G580" t="inlineStr">
        <is>
          <t>ULRICEHAMN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65400-2021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44515</v>
      </c>
      <c r="E581" s="1" t="n">
        <v>46221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60277-2023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45258</v>
      </c>
      <c r="E582" s="1" t="n">
        <v>46221</v>
      </c>
      <c r="F582" t="inlineStr">
        <is>
          <t>VÄSTRA GÖTALANDS LÄN</t>
        </is>
      </c>
      <c r="G582" t="inlineStr">
        <is>
          <t>ULRICEHAMN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58560-2021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44488</v>
      </c>
      <c r="E583" s="1" t="n">
        <v>46221</v>
      </c>
      <c r="F583" t="inlineStr">
        <is>
          <t>VÄSTRA GÖTALANDS LÄN</t>
        </is>
      </c>
      <c r="G583" t="inlineStr">
        <is>
          <t>ULRICEHAMN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51665-2024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45606</v>
      </c>
      <c r="E584" s="1" t="n">
        <v>46221</v>
      </c>
      <c r="F584" t="inlineStr">
        <is>
          <t>VÄSTRA GÖTALANDS LÄN</t>
        </is>
      </c>
      <c r="G584" t="inlineStr">
        <is>
          <t>ULRICEHAMN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42205-2022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44830</v>
      </c>
      <c r="E585" s="1" t="n">
        <v>46221</v>
      </c>
      <c r="F585" t="inlineStr">
        <is>
          <t>VÄSTRA GÖTALANDS LÄN</t>
        </is>
      </c>
      <c r="G585" t="inlineStr">
        <is>
          <t>ULRICEHAMN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7428-2022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44606</v>
      </c>
      <c r="E586" s="1" t="n">
        <v>46221</v>
      </c>
      <c r="F586" t="inlineStr">
        <is>
          <t>VÄSTRA GÖTALANDS LÄN</t>
        </is>
      </c>
      <c r="G586" t="inlineStr">
        <is>
          <t>ULRICEHAMN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548-2022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44566</v>
      </c>
      <c r="E587" s="1" t="n">
        <v>46221</v>
      </c>
      <c r="F587" t="inlineStr">
        <is>
          <t>VÄSTRA GÖTALANDS LÄN</t>
        </is>
      </c>
      <c r="G587" t="inlineStr">
        <is>
          <t>ULRICEHAMN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14038-2023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45008</v>
      </c>
      <c r="E588" s="1" t="n">
        <v>46221</v>
      </c>
      <c r="F588" t="inlineStr">
        <is>
          <t>VÄSTRA GÖTALANDS LÄN</t>
        </is>
      </c>
      <c r="G588" t="inlineStr">
        <is>
          <t>ULRICEHAMN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12727-2024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45384</v>
      </c>
      <c r="E589" s="1" t="n">
        <v>46221</v>
      </c>
      <c r="F589" t="inlineStr">
        <is>
          <t>VÄSTRA GÖTALANDS LÄN</t>
        </is>
      </c>
      <c r="G589" t="inlineStr">
        <is>
          <t>ULRICEHAMN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30585-2022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44762</v>
      </c>
      <c r="E590" s="1" t="n">
        <v>46221</v>
      </c>
      <c r="F590" t="inlineStr">
        <is>
          <t>VÄSTRA GÖTALANDS LÄN</t>
        </is>
      </c>
      <c r="G590" t="inlineStr">
        <is>
          <t>ULRICEHAMN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50521-2021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44455</v>
      </c>
      <c r="E591" s="1" t="n">
        <v>46221</v>
      </c>
      <c r="F591" t="inlineStr">
        <is>
          <t>VÄSTRA GÖTALANDS LÄN</t>
        </is>
      </c>
      <c r="G591" t="inlineStr">
        <is>
          <t>ULRICEHAMN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17306-2022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44678</v>
      </c>
      <c r="E592" s="1" t="n">
        <v>46221</v>
      </c>
      <c r="F592" t="inlineStr">
        <is>
          <t>VÄSTRA GÖTALANDS LÄN</t>
        </is>
      </c>
      <c r="G592" t="inlineStr">
        <is>
          <t>ULRICEHAMN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46221</v>
      </c>
      <c r="F593" t="inlineStr">
        <is>
          <t>VÄSTRA GÖTALANDS LÄN</t>
        </is>
      </c>
      <c r="G593" t="inlineStr">
        <is>
          <t>ULRICEHAMN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60992-2021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44497</v>
      </c>
      <c r="E594" s="1" t="n">
        <v>46221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51777-2024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46221</v>
      </c>
      <c r="F595" t="inlineStr">
        <is>
          <t>VÄSTRA GÖTALANDS LÄN</t>
        </is>
      </c>
      <c r="G595" t="inlineStr">
        <is>
          <t>ULRICEHAMN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14592-2024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45395</v>
      </c>
      <c r="E596" s="1" t="n">
        <v>46221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34448-2023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46221</v>
      </c>
      <c r="F597" t="inlineStr">
        <is>
          <t>VÄSTRA GÖTALANDS LÄN</t>
        </is>
      </c>
      <c r="G597" t="inlineStr">
        <is>
          <t>ULRICEHAMN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57561-2022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46221</v>
      </c>
      <c r="F598" t="inlineStr">
        <is>
          <t>VÄSTRA GÖTALANDS LÄN</t>
        </is>
      </c>
      <c r="G598" t="inlineStr">
        <is>
          <t>ULRICEHAMN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22715-2023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45071</v>
      </c>
      <c r="E599" s="1" t="n">
        <v>46221</v>
      </c>
      <c r="F599" t="inlineStr">
        <is>
          <t>VÄSTRA GÖTALANDS LÄN</t>
        </is>
      </c>
      <c r="G599" t="inlineStr">
        <is>
          <t>ULRICEHAMN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26248-2023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45091</v>
      </c>
      <c r="E600" s="1" t="n">
        <v>46221</v>
      </c>
      <c r="F600" t="inlineStr">
        <is>
          <t>VÄSTRA GÖTALANDS LÄN</t>
        </is>
      </c>
      <c r="G600" t="inlineStr">
        <is>
          <t>ULRICEHAMN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14149-2023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45009</v>
      </c>
      <c r="E601" s="1" t="n">
        <v>46221</v>
      </c>
      <c r="F601" t="inlineStr">
        <is>
          <t>VÄSTRA GÖTALANDS LÄN</t>
        </is>
      </c>
      <c r="G601" t="inlineStr">
        <is>
          <t>ULRICEHAMN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9599-2024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45361</v>
      </c>
      <c r="E602" s="1" t="n">
        <v>46221</v>
      </c>
      <c r="F602" t="inlineStr">
        <is>
          <t>VÄSTRA GÖTALANDS LÄN</t>
        </is>
      </c>
      <c r="G602" t="inlineStr">
        <is>
          <t>ULRICEHAMN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30332-2022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44760</v>
      </c>
      <c r="E603" s="1" t="n">
        <v>46221</v>
      </c>
      <c r="F603" t="inlineStr">
        <is>
          <t>VÄSTRA GÖTALANDS LÄN</t>
        </is>
      </c>
      <c r="G603" t="inlineStr">
        <is>
          <t>ULRICEHAMN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6853-2023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44967</v>
      </c>
      <c r="E604" s="1" t="n">
        <v>46221</v>
      </c>
      <c r="F604" t="inlineStr">
        <is>
          <t>VÄSTRA GÖTALANDS LÄN</t>
        </is>
      </c>
      <c r="G604" t="inlineStr">
        <is>
          <t>ULRICEHAMN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6856-2023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44967</v>
      </c>
      <c r="E605" s="1" t="n">
        <v>46221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56450-2024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45625</v>
      </c>
      <c r="E606" s="1" t="n">
        <v>46221</v>
      </c>
      <c r="F606" t="inlineStr">
        <is>
          <t>VÄSTRA GÖTALANDS LÄN</t>
        </is>
      </c>
      <c r="G606" t="inlineStr">
        <is>
          <t>ULRICEHAMN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64998-2021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44514</v>
      </c>
      <c r="E607" s="1" t="n">
        <v>46221</v>
      </c>
      <c r="F607" t="inlineStr">
        <is>
          <t>VÄSTRA GÖTALANDS LÄN</t>
        </is>
      </c>
      <c r="G607" t="inlineStr">
        <is>
          <t>ULRICEHAMN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50665-2024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46221</v>
      </c>
      <c r="F608" t="inlineStr">
        <is>
          <t>VÄSTRA GÖTALANDS LÄN</t>
        </is>
      </c>
      <c r="G608" t="inlineStr">
        <is>
          <t>ULRICEHAMN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22480-2023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45071</v>
      </c>
      <c r="E609" s="1" t="n">
        <v>46221</v>
      </c>
      <c r="F609" t="inlineStr">
        <is>
          <t>VÄSTRA GÖTALANDS LÄN</t>
        </is>
      </c>
      <c r="G609" t="inlineStr">
        <is>
          <t>ULRICEHAMN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44945</v>
      </c>
      <c r="E610" s="1" t="n">
        <v>46221</v>
      </c>
      <c r="F610" t="inlineStr">
        <is>
          <t>VÄSTRA GÖTALANDS LÄN</t>
        </is>
      </c>
      <c r="G610" t="inlineStr">
        <is>
          <t>ULRICEHAMN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28888-2023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45104</v>
      </c>
      <c r="E611" s="1" t="n">
        <v>46221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45320</v>
      </c>
      <c r="E612" s="1" t="n">
        <v>46221</v>
      </c>
      <c r="F612" t="inlineStr">
        <is>
          <t>VÄSTRA GÖTALANDS LÄN</t>
        </is>
      </c>
      <c r="G612" t="inlineStr">
        <is>
          <t>ULRICEHAMN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42438-2024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45565</v>
      </c>
      <c r="E613" s="1" t="n">
        <v>46221</v>
      </c>
      <c r="F613" t="inlineStr">
        <is>
          <t>VÄSTRA GÖTALANDS LÄN</t>
        </is>
      </c>
      <c r="G613" t="inlineStr">
        <is>
          <t>ULRICEHAMN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65872-2021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44517</v>
      </c>
      <c r="E614" s="1" t="n">
        <v>46221</v>
      </c>
      <c r="F614" t="inlineStr">
        <is>
          <t>VÄSTRA GÖTALANDS LÄN</t>
        </is>
      </c>
      <c r="G614" t="inlineStr">
        <is>
          <t>ULRICEHAMN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46209-2023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45196</v>
      </c>
      <c r="E615" s="1" t="n">
        <v>46221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8670-2022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44613</v>
      </c>
      <c r="E616" s="1" t="n">
        <v>46221</v>
      </c>
      <c r="F616" t="inlineStr">
        <is>
          <t>VÄSTRA GÖTALANDS LÄN</t>
        </is>
      </c>
      <c r="G616" t="inlineStr">
        <is>
          <t>ULRICEHAMN</t>
        </is>
      </c>
      <c r="H616" t="inlineStr">
        <is>
          <t>Sveaskog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32303-2023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45120</v>
      </c>
      <c r="E617" s="1" t="n">
        <v>46221</v>
      </c>
      <c r="F617" t="inlineStr">
        <is>
          <t>VÄSTRA GÖTALANDS LÄN</t>
        </is>
      </c>
      <c r="G617" t="inlineStr">
        <is>
          <t>ULRICEHAMN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55267-2023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45237</v>
      </c>
      <c r="E618" s="1" t="n">
        <v>46221</v>
      </c>
      <c r="F618" t="inlineStr">
        <is>
          <t>VÄSTRA GÖTALANDS LÄN</t>
        </is>
      </c>
      <c r="G618" t="inlineStr">
        <is>
          <t>ULRICEHAMN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50002-2024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45598</v>
      </c>
      <c r="E619" s="1" t="n">
        <v>46221</v>
      </c>
      <c r="F619" t="inlineStr">
        <is>
          <t>VÄSTRA GÖTALANDS LÄN</t>
        </is>
      </c>
      <c r="G619" t="inlineStr">
        <is>
          <t>ULRICEHAMN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12101-2022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44636</v>
      </c>
      <c r="E620" s="1" t="n">
        <v>46221</v>
      </c>
      <c r="F620" t="inlineStr">
        <is>
          <t>VÄSTRA GÖTALANDS LÄN</t>
        </is>
      </c>
      <c r="G620" t="inlineStr">
        <is>
          <t>ULRICEHAMN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36096-2024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45533</v>
      </c>
      <c r="E621" s="1" t="n">
        <v>46221</v>
      </c>
      <c r="F621" t="inlineStr">
        <is>
          <t>VÄSTRA GÖTALANDS LÄN</t>
        </is>
      </c>
      <c r="G621" t="inlineStr">
        <is>
          <t>ULRICEHAMN</t>
        </is>
      </c>
      <c r="I621" t="n">
        <v>12.5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60274-2023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46221</v>
      </c>
      <c r="F622" t="inlineStr">
        <is>
          <t>VÄSTRA GÖTALANDS LÄN</t>
        </is>
      </c>
      <c r="G622" t="inlineStr">
        <is>
          <t>ULRICEHAMN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57562-2023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46221</v>
      </c>
      <c r="F623" t="inlineStr">
        <is>
          <t>VÄSTRA GÖTALANDS LÄN</t>
        </is>
      </c>
      <c r="G623" t="inlineStr">
        <is>
          <t>ULRICEHAMN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38986-2023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45163</v>
      </c>
      <c r="E624" s="1" t="n">
        <v>46221</v>
      </c>
      <c r="F624" t="inlineStr">
        <is>
          <t>VÄSTRA GÖTALANDS LÄN</t>
        </is>
      </c>
      <c r="G624" t="inlineStr">
        <is>
          <t>ULRICEHAMN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49825-2024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45597</v>
      </c>
      <c r="E625" s="1" t="n">
        <v>46221</v>
      </c>
      <c r="F625" t="inlineStr">
        <is>
          <t>VÄSTRA GÖTALANDS LÄN</t>
        </is>
      </c>
      <c r="G625" t="inlineStr">
        <is>
          <t>ULRICEHAMN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23866-2026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46221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63012-2023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45272</v>
      </c>
      <c r="E627" s="1" t="n">
        <v>46221</v>
      </c>
      <c r="F627" t="inlineStr">
        <is>
          <t>VÄSTRA GÖTALANDS LÄN</t>
        </is>
      </c>
      <c r="G627" t="inlineStr">
        <is>
          <t>ULRICEHAMN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25651-2023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45089</v>
      </c>
      <c r="E628" s="1" t="n">
        <v>46221</v>
      </c>
      <c r="F628" t="inlineStr">
        <is>
          <t>VÄSTRA GÖTALANDS LÄN</t>
        </is>
      </c>
      <c r="G628" t="inlineStr">
        <is>
          <t>ULRICEHAMN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7382-2023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44971</v>
      </c>
      <c r="E629" s="1" t="n">
        <v>46221</v>
      </c>
      <c r="F629" t="inlineStr">
        <is>
          <t>VÄSTRA GÖTALANDS LÄN</t>
        </is>
      </c>
      <c r="G629" t="inlineStr">
        <is>
          <t>ULRICEHAMN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36693-2023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45153</v>
      </c>
      <c r="E630" s="1" t="n">
        <v>46221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38594-2023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45162</v>
      </c>
      <c r="E631" s="1" t="n">
        <v>46221</v>
      </c>
      <c r="F631" t="inlineStr">
        <is>
          <t>VÄSTRA GÖTALANDS LÄN</t>
        </is>
      </c>
      <c r="G631" t="inlineStr">
        <is>
          <t>ULRICEHAMN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13106-2023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45002</v>
      </c>
      <c r="E632" s="1" t="n">
        <v>46221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24239-2026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46221</v>
      </c>
      <c r="F633" t="inlineStr">
        <is>
          <t>VÄSTRA GÖTALANDS LÄN</t>
        </is>
      </c>
      <c r="G633" t="inlineStr">
        <is>
          <t>ULRICEHAMN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11959-2024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45376</v>
      </c>
      <c r="E634" s="1" t="n">
        <v>46221</v>
      </c>
      <c r="F634" t="inlineStr">
        <is>
          <t>VÄSTRA GÖTALANDS LÄN</t>
        </is>
      </c>
      <c r="G634" t="inlineStr">
        <is>
          <t>ULRICEHAMN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17507-2024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45415</v>
      </c>
      <c r="E635" s="1" t="n">
        <v>46221</v>
      </c>
      <c r="F635" t="inlineStr">
        <is>
          <t>VÄSTRA GÖTALANDS LÄN</t>
        </is>
      </c>
      <c r="G635" t="inlineStr">
        <is>
          <t>ULRICEHAMN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56833-2022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44894</v>
      </c>
      <c r="E636" s="1" t="n">
        <v>46221</v>
      </c>
      <c r="F636" t="inlineStr">
        <is>
          <t>VÄSTRA GÖTALANDS LÄN</t>
        </is>
      </c>
      <c r="G636" t="inlineStr">
        <is>
          <t>ULRICEHAMN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29207-2024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45482</v>
      </c>
      <c r="E637" s="1" t="n">
        <v>46221</v>
      </c>
      <c r="F637" t="inlineStr">
        <is>
          <t>VÄSTRA GÖTALANDS LÄN</t>
        </is>
      </c>
      <c r="G637" t="inlineStr">
        <is>
          <t>ULRICEHAMN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33129-2024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45518</v>
      </c>
      <c r="E638" s="1" t="n">
        <v>46221</v>
      </c>
      <c r="F638" t="inlineStr">
        <is>
          <t>VÄSTRA GÖTALANDS LÄN</t>
        </is>
      </c>
      <c r="G638" t="inlineStr">
        <is>
          <t>ULRICEHAMN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30205-2026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46221</v>
      </c>
      <c r="F639" t="inlineStr">
        <is>
          <t>VÄSTRA GÖTALANDS LÄN</t>
        </is>
      </c>
      <c r="G639" t="inlineStr">
        <is>
          <t>ULRICEHAMN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38056-2024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46221</v>
      </c>
      <c r="F640" t="inlineStr">
        <is>
          <t>VÄSTRA GÖTALANDS LÄN</t>
        </is>
      </c>
      <c r="G640" t="inlineStr">
        <is>
          <t>ULRICEHAMN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21924-2026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46221</v>
      </c>
      <c r="F641" t="inlineStr">
        <is>
          <t>VÄSTRA GÖTALANDS LÄN</t>
        </is>
      </c>
      <c r="G641" t="inlineStr">
        <is>
          <t>ULRICEHAMN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30622-2026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46211</v>
      </c>
      <c r="E642" s="1" t="n">
        <v>46221</v>
      </c>
      <c r="F642" t="inlineStr">
        <is>
          <t>VÄSTRA GÖTALANDS LÄN</t>
        </is>
      </c>
      <c r="G642" t="inlineStr">
        <is>
          <t>ULRICEHAMN</t>
        </is>
      </c>
      <c r="I642" t="n">
        <v>10.8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46505-2024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45582</v>
      </c>
      <c r="E643" s="1" t="n">
        <v>46221</v>
      </c>
      <c r="F643" t="inlineStr">
        <is>
          <t>VÄSTRA GÖTALANDS LÄN</t>
        </is>
      </c>
      <c r="G643" t="inlineStr">
        <is>
          <t>ULRICEHAMN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31094-2026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46221</v>
      </c>
      <c r="F644" t="inlineStr">
        <is>
          <t>VÄSTRA GÖTALANDS LÄN</t>
        </is>
      </c>
      <c r="G644" t="inlineStr">
        <is>
          <t>ULRICEHAMN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31102-2026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46221</v>
      </c>
      <c r="F645" t="inlineStr">
        <is>
          <t>VÄSTRA GÖTALANDS LÄN</t>
        </is>
      </c>
      <c r="G645" t="inlineStr">
        <is>
          <t>ULRICEHAMN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17999-2026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46221</v>
      </c>
      <c r="F646" t="inlineStr">
        <is>
          <t>VÄSTRA GÖTALANDS LÄN</t>
        </is>
      </c>
      <c r="G646" t="inlineStr">
        <is>
          <t>ULRICEHAMN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45683</v>
      </c>
      <c r="E647" s="1" t="n">
        <v>46221</v>
      </c>
      <c r="F647" t="inlineStr">
        <is>
          <t>VÄSTRA GÖTALANDS LÄN</t>
        </is>
      </c>
      <c r="G647" t="inlineStr">
        <is>
          <t>ULRICEHAMN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20484-2025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46221</v>
      </c>
      <c r="F648" t="inlineStr">
        <is>
          <t>VÄSTRA GÖTALANDS LÄN</t>
        </is>
      </c>
      <c r="G648" t="inlineStr">
        <is>
          <t>ULRICEHAMN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19864-2025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45771</v>
      </c>
      <c r="E649" s="1" t="n">
        <v>46221</v>
      </c>
      <c r="F649" t="inlineStr">
        <is>
          <t>VÄSTRA GÖTALANDS LÄN</t>
        </is>
      </c>
      <c r="G649" t="inlineStr">
        <is>
          <t>ULRICEHAMN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46221</v>
      </c>
      <c r="F650" t="inlineStr">
        <is>
          <t>VÄSTRA GÖTALANDS LÄN</t>
        </is>
      </c>
      <c r="G650" t="inlineStr">
        <is>
          <t>ULRICEHAMN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13512-2023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45006</v>
      </c>
      <c r="E651" s="1" t="n">
        <v>46221</v>
      </c>
      <c r="F651" t="inlineStr">
        <is>
          <t>VÄSTRA GÖTALANDS LÄN</t>
        </is>
      </c>
      <c r="G651" t="inlineStr">
        <is>
          <t>ULRICEHAMN</t>
        </is>
      </c>
      <c r="H651" t="inlineStr">
        <is>
          <t>Kommuner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46221</v>
      </c>
      <c r="F652" t="inlineStr">
        <is>
          <t>VÄSTRA GÖTALANDS LÄN</t>
        </is>
      </c>
      <c r="G652" t="inlineStr">
        <is>
          <t>ULRICEHAMN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45321</v>
      </c>
      <c r="E653" s="1" t="n">
        <v>46221</v>
      </c>
      <c r="F653" t="inlineStr">
        <is>
          <t>VÄSTRA GÖTALANDS LÄN</t>
        </is>
      </c>
      <c r="G653" t="inlineStr">
        <is>
          <t>ULRICEHAMN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13098-2023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45002</v>
      </c>
      <c r="E654" s="1" t="n">
        <v>46221</v>
      </c>
      <c r="F654" t="inlineStr">
        <is>
          <t>VÄSTRA GÖTALANDS LÄN</t>
        </is>
      </c>
      <c r="G654" t="inlineStr">
        <is>
          <t>ULRICEHAMN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53087-2023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45227</v>
      </c>
      <c r="E655" s="1" t="n">
        <v>46221</v>
      </c>
      <c r="F655" t="inlineStr">
        <is>
          <t>VÄSTRA GÖTALANDS LÄN</t>
        </is>
      </c>
      <c r="G655" t="inlineStr">
        <is>
          <t>ULRICEHAMN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53089-2023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45227</v>
      </c>
      <c r="E656" s="1" t="n">
        <v>46221</v>
      </c>
      <c r="F656" t="inlineStr">
        <is>
          <t>VÄSTRA GÖTALANDS LÄN</t>
        </is>
      </c>
      <c r="G656" t="inlineStr">
        <is>
          <t>ULRICEHAMN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32788-2023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45124</v>
      </c>
      <c r="E657" s="1" t="n">
        <v>46221</v>
      </c>
      <c r="F657" t="inlineStr">
        <is>
          <t>VÄSTRA GÖTALANDS LÄN</t>
        </is>
      </c>
      <c r="G657" t="inlineStr">
        <is>
          <t>ULRICEHAMN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34767-2023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46221</v>
      </c>
      <c r="F658" t="inlineStr">
        <is>
          <t>VÄSTRA GÖTALANDS LÄN</t>
        </is>
      </c>
      <c r="G658" t="inlineStr">
        <is>
          <t>ULRICEHAMN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52132-2024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45608</v>
      </c>
      <c r="E659" s="1" t="n">
        <v>46221</v>
      </c>
      <c r="F659" t="inlineStr">
        <is>
          <t>VÄSTRA GÖTALANDS LÄN</t>
        </is>
      </c>
      <c r="G659" t="inlineStr">
        <is>
          <t>ULRICEHAMN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7111-2023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44970</v>
      </c>
      <c r="E660" s="1" t="n">
        <v>46221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9879-2024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45363</v>
      </c>
      <c r="E661" s="1" t="n">
        <v>46221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12149-2022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44636</v>
      </c>
      <c r="E662" s="1" t="n">
        <v>46221</v>
      </c>
      <c r="F662" t="inlineStr">
        <is>
          <t>VÄSTRA GÖTALANDS LÄN</t>
        </is>
      </c>
      <c r="G662" t="inlineStr">
        <is>
          <t>ULRICEHAMN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52304-2023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45224</v>
      </c>
      <c r="E663" s="1" t="n">
        <v>46221</v>
      </c>
      <c r="F663" t="inlineStr">
        <is>
          <t>VÄSTRA GÖTALANDS LÄN</t>
        </is>
      </c>
      <c r="G663" t="inlineStr">
        <is>
          <t>ULRICEHAMN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31110-2026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46216</v>
      </c>
      <c r="E664" s="1" t="n">
        <v>46221</v>
      </c>
      <c r="F664" t="inlineStr">
        <is>
          <t>VÄSTRA GÖTALANDS LÄN</t>
        </is>
      </c>
      <c r="G664" t="inlineStr">
        <is>
          <t>ULRICEHAMN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16991-2024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45412</v>
      </c>
      <c r="E665" s="1" t="n">
        <v>46221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61508-2023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45265</v>
      </c>
      <c r="E666" s="1" t="n">
        <v>46221</v>
      </c>
      <c r="F666" t="inlineStr">
        <is>
          <t>VÄSTRA GÖTALANDS LÄN</t>
        </is>
      </c>
      <c r="G666" t="inlineStr">
        <is>
          <t>ULRICEHAMN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61512-2023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46221</v>
      </c>
      <c r="F667" t="inlineStr">
        <is>
          <t>VÄSTRA GÖTALANDS LÄN</t>
        </is>
      </c>
      <c r="G667" t="inlineStr">
        <is>
          <t>ULRICEHAMN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3441-2024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45320</v>
      </c>
      <c r="E668" s="1" t="n">
        <v>46221</v>
      </c>
      <c r="F668" t="inlineStr">
        <is>
          <t>VÄSTRA GÖTALANDS LÄN</t>
        </is>
      </c>
      <c r="G668" t="inlineStr">
        <is>
          <t>ULRICEHAMN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48986-2023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45209</v>
      </c>
      <c r="E669" s="1" t="n">
        <v>46221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35764-2022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44800</v>
      </c>
      <c r="E670" s="1" t="n">
        <v>46221</v>
      </c>
      <c r="F670" t="inlineStr">
        <is>
          <t>VÄSTRA GÖTALANDS LÄN</t>
        </is>
      </c>
      <c r="G670" t="inlineStr">
        <is>
          <t>ULRICEHAMN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42675-2023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46221</v>
      </c>
      <c r="F671" t="inlineStr">
        <is>
          <t>VÄSTRA GÖTALANDS LÄN</t>
        </is>
      </c>
      <c r="G671" t="inlineStr">
        <is>
          <t>ULRICEHAMN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8738-2024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46221</v>
      </c>
      <c r="F672" t="inlineStr">
        <is>
          <t>VÄSTRA GÖTALANDS LÄN</t>
        </is>
      </c>
      <c r="G672" t="inlineStr">
        <is>
          <t>ULRICEHAMN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46221</v>
      </c>
      <c r="F673" t="inlineStr">
        <is>
          <t>VÄSTRA GÖTALANDS LÄN</t>
        </is>
      </c>
      <c r="G673" t="inlineStr">
        <is>
          <t>ULRICEHAMN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46221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46221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46221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46221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46221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46221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46221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46221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46221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46221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46221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46221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46221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46221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46221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46221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46221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46221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46221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46221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46221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46221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46221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46221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46221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46221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46221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46221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46221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46221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46221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24347-2025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45797</v>
      </c>
      <c r="E705" s="1" t="n">
        <v>46221</v>
      </c>
      <c r="F705" t="inlineStr">
        <is>
          <t>VÄSTRA GÖTALANDS LÄN</t>
        </is>
      </c>
      <c r="G705" t="inlineStr">
        <is>
          <t>ULRICEHAMN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24901-2025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45799</v>
      </c>
      <c r="E706" s="1" t="n">
        <v>46221</v>
      </c>
      <c r="F706" t="inlineStr">
        <is>
          <t>VÄSTRA GÖTALANDS LÄN</t>
        </is>
      </c>
      <c r="G706" t="inlineStr">
        <is>
          <t>ULRICEHAMN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46221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46221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46221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46221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46221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46221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46221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46221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46221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46221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46221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46221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2026-07-18T01:20:58Z</dcterms:created>
  <dcterms:modified xmlns:dcterms="http://purl.org/dc/terms/" xmlns:xsi="http://www.w3.org/2001/XMLSchema-instance" xsi:type="dcterms:W3CDTF">2026-07-18T01:20:59Z</dcterms:modified>
</cp:coreProperties>
</file>