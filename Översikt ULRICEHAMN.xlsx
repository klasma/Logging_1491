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46284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46284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46284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46284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46284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46284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46284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46284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46284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46284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46284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46284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46284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51158-2024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46284</v>
      </c>
      <c r="F19" t="inlineStr">
        <is>
          <t>VÄSTRA GÖTALANDS LÄN</t>
        </is>
      </c>
      <c r="G19" t="inlineStr">
        <is>
          <t>ULRICEHAMN</t>
        </is>
      </c>
      <c r="H19" t="inlineStr">
        <is>
          <t>Kommuner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Skogsödla</t>
        </is>
      </c>
      <c r="W19">
        <f>HYPERLINK("https://klasma.github.io/Logging_1491/artfynd/A 51158-2024 artfynd.xlsx", "A 51158-2024")</f>
        <v/>
      </c>
      <c r="X19">
        <f>HYPERLINK("https://klasma.github.io/Logging_1491/kartor/A 51158-2024 karta.png", "A 51158-2024")</f>
        <v/>
      </c>
      <c r="Y19">
        <f>HYPERLINK("https://klasma.github.io/Logging_1491/kartor_geotiff/A 51158-2024 georefererad karta.tif", "A 51158-2024")</f>
        <v/>
      </c>
      <c r="AA19">
        <f>HYPERLINK("https://klasma.github.io/Logging_1491/klagomål/A 51158-2024 FSC-klagomål.docx", "A 51158-2024")</f>
        <v/>
      </c>
      <c r="AB19">
        <f>HYPERLINK("https://klasma.github.io/Logging_1491/klagomålsmail/A 51158-2024 FSC-klagomål mail.docx", "A 51158-2024")</f>
        <v/>
      </c>
      <c r="AC19">
        <f>HYPERLINK("https://klasma.github.io/Logging_1491/tillsyn/A 51158-2024 tillsynsbegäran.docx", "A 51158-2024")</f>
        <v/>
      </c>
      <c r="AD19">
        <f>HYPERLINK("https://klasma.github.io/Logging_1491/tillsynsmail/A 51158-2024 tillsynsbegäran mail.docx", "A 51158-2024")</f>
        <v/>
      </c>
    </row>
    <row r="20" ht="15" customHeight="1">
      <c r="A20" t="inlineStr">
        <is>
          <t>A 33885-2023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45134</v>
      </c>
      <c r="E20" s="1" t="n">
        <v>46284</v>
      </c>
      <c r="F20" t="inlineStr">
        <is>
          <t>VÄSTRA GÖTALANDS LÄN</t>
        </is>
      </c>
      <c r="G20" t="inlineStr">
        <is>
          <t>ULRICEHAMN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Gulvaxing</t>
        </is>
      </c>
      <c r="W20">
        <f>HYPERLINK("https://klasma.github.io/Logging_1491/artfynd/A 33885-2023 artfynd.xlsx", "A 33885-2023")</f>
        <v/>
      </c>
      <c r="X20">
        <f>HYPERLINK("https://klasma.github.io/Logging_1491/kartor/A 33885-2023 karta.png", "A 33885-2023")</f>
        <v/>
      </c>
      <c r="Y20">
        <f>HYPERLINK("https://klasma.github.io/Logging_1491/kartor_geotiff/A 33885-2023 georefererad karta.tif", "A 33885-2023")</f>
        <v/>
      </c>
      <c r="AA20">
        <f>HYPERLINK("https://klasma.github.io/Logging_1491/klagomål/A 33885-2023 FSC-klagomål.docx", "A 33885-2023")</f>
        <v/>
      </c>
      <c r="AB20">
        <f>HYPERLINK("https://klasma.github.io/Logging_1491/klagomålsmail/A 33885-2023 FSC-klagomål mail.docx", "A 33885-2023")</f>
        <v/>
      </c>
      <c r="AC20">
        <f>HYPERLINK("https://klasma.github.io/Logging_1491/tillsyn/A 33885-2023 tillsynsbegäran.docx", "A 33885-2023")</f>
        <v/>
      </c>
      <c r="AD20">
        <f>HYPERLINK("https://klasma.github.io/Logging_1491/tillsynsmail/A 33885-2023 tillsynsbegäran mail.docx", "A 33885-2023")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46284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2626-2025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45675</v>
      </c>
      <c r="E22" s="1" t="n">
        <v>46284</v>
      </c>
      <c r="F22" t="inlineStr">
        <is>
          <t>VÄSTRA GÖTALANDS LÄN</t>
        </is>
      </c>
      <c r="G22" t="inlineStr">
        <is>
          <t>ULRICEHAMN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Flodpärlmussla</t>
        </is>
      </c>
      <c r="W22">
        <f>HYPERLINK("https://klasma.github.io/Logging_1491/artfynd/A 2626-2025 artfynd.xlsx", "A 2626-2025")</f>
        <v/>
      </c>
      <c r="X22">
        <f>HYPERLINK("https://klasma.github.io/Logging_1491/kartor/A 2626-2025 karta.png", "A 2626-2025")</f>
        <v/>
      </c>
      <c r="Y22">
        <f>HYPERLINK("https://klasma.github.io/Logging_1491/kartor_geotiff/A 2626-2025 georefererad karta.tif", "A 2626-2025")</f>
        <v/>
      </c>
      <c r="AA22">
        <f>HYPERLINK("https://klasma.github.io/Logging_1491/klagomål/A 2626-2025 FSC-klagomål.docx", "A 2626-2025")</f>
        <v/>
      </c>
      <c r="AB22">
        <f>HYPERLINK("https://klasma.github.io/Logging_1491/klagomålsmail/A 2626-2025 FSC-klagomål mail.docx", "A 2626-2025")</f>
        <v/>
      </c>
      <c r="AC22">
        <f>HYPERLINK("https://klasma.github.io/Logging_1491/tillsyn/A 2626-2025 tillsynsbegäran.docx", "A 2626-2025")</f>
        <v/>
      </c>
      <c r="AD22">
        <f>HYPERLINK("https://klasma.github.io/Logging_1491/tillsynsmail/A 2626-2025 tillsynsbegäran mail.docx", "A 2626-2025")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46284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46284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46284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46284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46284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46284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46284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30954-2022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46284</v>
      </c>
      <c r="F30" t="inlineStr">
        <is>
          <t>VÄSTRA GÖTALANDS LÄN</t>
        </is>
      </c>
      <c r="G30" t="inlineStr">
        <is>
          <t>ULRICEHAMN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HYPERLINK("https://klasma.github.io/Logging_1491/artfynd/A 30954-2022 artfynd.xlsx", "A 30954-2022")</f>
        <v/>
      </c>
      <c r="X30">
        <f>HYPERLINK("https://klasma.github.io/Logging_1491/kartor/A 30954-2022 karta.png", "A 30954-2022")</f>
        <v/>
      </c>
      <c r="Y30">
        <f>HYPERLINK("https://klasma.github.io/Logging_1491/kartor_geotiff/A 30954-2022 georefererad karta.tif", "A 30954-2022")</f>
        <v/>
      </c>
      <c r="AA30">
        <f>HYPERLINK("https://klasma.github.io/Logging_1491/klagomål/A 30954-2022 FSC-klagomål.docx", "A 30954-2022")</f>
        <v/>
      </c>
      <c r="AB30">
        <f>HYPERLINK("https://klasma.github.io/Logging_1491/klagomålsmail/A 30954-2022 FSC-klagomål mail.docx", "A 30954-2022")</f>
        <v/>
      </c>
      <c r="AC30">
        <f>HYPERLINK("https://klasma.github.io/Logging_1491/tillsyn/A 30954-2022 tillsynsbegäran.docx", "A 30954-2022")</f>
        <v/>
      </c>
      <c r="AD30">
        <f>HYPERLINK("https://klasma.github.io/Logging_1491/tillsynsmail/A 30954-2022 tillsynsbegäran mail.docx", "A 30954-2022")</f>
        <v/>
      </c>
      <c r="AE30">
        <f>HYPERLINK("https://klasma.github.io/Logging_1491/fåglar/A 30954-2022 prioriterade fågelarter.docx", "A 30954-2022")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46284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62032-2025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46004</v>
      </c>
      <c r="E32" s="1" t="n">
        <v>46284</v>
      </c>
      <c r="F32" t="inlineStr">
        <is>
          <t>VÄSTRA GÖTALANDS LÄN</t>
        </is>
      </c>
      <c r="G32" t="inlineStr">
        <is>
          <t>ULRICEHAMN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HYPERLINK("https://klasma.github.io/Logging_1491/artfynd/A 62032-2025 artfynd.xlsx", "A 62032-2025")</f>
        <v/>
      </c>
      <c r="X32">
        <f>HYPERLINK("https://klasma.github.io/Logging_1491/kartor/A 62032-2025 karta.png", "A 62032-2025")</f>
        <v/>
      </c>
      <c r="Y32">
        <f>HYPERLINK("https://klasma.github.io/Logging_1491/kartor_geotiff/A 62032-2025 georefererad karta.tif", "A 62032-2025")</f>
        <v/>
      </c>
      <c r="AA32">
        <f>HYPERLINK("https://klasma.github.io/Logging_1491/klagomål/A 62032-2025 FSC-klagomål.docx", "A 62032-2025")</f>
        <v/>
      </c>
      <c r="AB32">
        <f>HYPERLINK("https://klasma.github.io/Logging_1491/klagomålsmail/A 62032-2025 FSC-klagomål mail.docx", "A 62032-2025")</f>
        <v/>
      </c>
      <c r="AC32">
        <f>HYPERLINK("https://klasma.github.io/Logging_1491/tillsyn/A 62032-2025 tillsynsbegäran.docx", "A 62032-2025")</f>
        <v/>
      </c>
      <c r="AD32">
        <f>HYPERLINK("https://klasma.github.io/Logging_1491/tillsynsmail/A 62032-2025 tillsynsbegäran mail.docx", "A 62032-2025")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46284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43241-2024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46284</v>
      </c>
      <c r="F34" t="inlineStr">
        <is>
          <t>VÄSTRA GÖTALANDS LÄN</t>
        </is>
      </c>
      <c r="G34" t="inlineStr">
        <is>
          <t>ULRICEHAMN</t>
        </is>
      </c>
      <c r="I34" t="n">
        <v>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HYPERLINK("https://klasma.github.io/Logging_1491/artfynd/A 43241-2024 artfynd.xlsx", "A 43241-2024")</f>
        <v/>
      </c>
      <c r="X34">
        <f>HYPERLINK("https://klasma.github.io/Logging_1491/kartor/A 43241-2024 karta.png", "A 43241-2024")</f>
        <v/>
      </c>
      <c r="Y34">
        <f>HYPERLINK("https://klasma.github.io/Logging_1491/kartor_geotiff/A 43241-2024 georefererad karta.tif", "A 43241-2024")</f>
        <v/>
      </c>
      <c r="AA34">
        <f>HYPERLINK("https://klasma.github.io/Logging_1491/klagomål/A 43241-2024 FSC-klagomål.docx", "A 43241-2024")</f>
        <v/>
      </c>
      <c r="AB34">
        <f>HYPERLINK("https://klasma.github.io/Logging_1491/klagomålsmail/A 43241-2024 FSC-klagomål mail.docx", "A 43241-2024")</f>
        <v/>
      </c>
      <c r="AC34">
        <f>HYPERLINK("https://klasma.github.io/Logging_1491/tillsyn/A 43241-2024 tillsynsbegäran.docx", "A 43241-2024")</f>
        <v/>
      </c>
      <c r="AD34">
        <f>HYPERLINK("https://klasma.github.io/Logging_1491/tillsynsmail/A 43241-2024 tillsynsbegäran mail.docx", "A 43241-2024")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46284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HYPERLINK("https://klasma.github.io/Logging_1491/artfynd/A 6804-2026 artfynd.xlsx", "A 6804-2026")</f>
        <v/>
      </c>
      <c r="X35">
        <f>HYPERLINK("https://klasma.github.io/Logging_1491/kartor/A 6804-2026 karta.png", "A 6804-2026")</f>
        <v/>
      </c>
      <c r="Y35">
        <f>HYPERLINK("https://klasma.github.io/Logging_1491/kartor_geotiff/A 6804-2026 georefererad karta.tif", "A 6804-2026")</f>
        <v/>
      </c>
      <c r="AA35">
        <f>HYPERLINK("https://klasma.github.io/Logging_1491/klagomål/A 6804-2026 FSC-klagomål.docx", "A 6804-2026")</f>
        <v/>
      </c>
      <c r="AB35">
        <f>HYPERLINK("https://klasma.github.io/Logging_1491/klagomålsmail/A 6804-2026 FSC-klagomål mail.docx", "A 6804-2026")</f>
        <v/>
      </c>
      <c r="AC35">
        <f>HYPERLINK("https://klasma.github.io/Logging_1491/tillsyn/A 6804-2026 tillsynsbegäran.docx", "A 6804-2026")</f>
        <v/>
      </c>
      <c r="AD35">
        <f>HYPERLINK("https://klasma.github.io/Logging_1491/tillsynsmail/A 6804-2026 tillsynsbegäran mail.docx", "A 6804-2026")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46284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46284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16158-2026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46109</v>
      </c>
      <c r="E38" s="1" t="n">
        <v>46284</v>
      </c>
      <c r="F38" t="inlineStr">
        <is>
          <t>VÄSTRA GÖTALANDS LÄN</t>
        </is>
      </c>
      <c r="G38" t="inlineStr">
        <is>
          <t>ULRICEHAMN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Hässleklocka</t>
        </is>
      </c>
      <c r="W38">
        <f>HYPERLINK("https://klasma.github.io/Logging_1491/artfynd/A 16158-2026 artfynd.xlsx", "A 16158-2026")</f>
        <v/>
      </c>
      <c r="X38">
        <f>HYPERLINK("https://klasma.github.io/Logging_1491/kartor/A 16158-2026 karta.png", "A 16158-2026")</f>
        <v/>
      </c>
      <c r="Y38">
        <f>HYPERLINK("https://klasma.github.io/Logging_1491/kartor_geotiff/A 16158-2026 georefererad karta.tif", "A 16158-2026")</f>
        <v/>
      </c>
      <c r="AA38">
        <f>HYPERLINK("https://klasma.github.io/Logging_1491/klagomål/A 16158-2026 FSC-klagomål.docx", "A 16158-2026")</f>
        <v/>
      </c>
      <c r="AB38">
        <f>HYPERLINK("https://klasma.github.io/Logging_1491/klagomålsmail/A 16158-2026 FSC-klagomål mail.docx", "A 16158-2026")</f>
        <v/>
      </c>
      <c r="AC38">
        <f>HYPERLINK("https://klasma.github.io/Logging_1491/tillsyn/A 16158-2026 tillsynsbegäran.docx", "A 16158-2026")</f>
        <v/>
      </c>
      <c r="AD38">
        <f>HYPERLINK("https://klasma.github.io/Logging_1491/tillsynsmail/A 16158-2026 tillsynsbegäran mail.docx", "A 16158-2026")</f>
        <v/>
      </c>
    </row>
    <row r="39" ht="15" customHeight="1">
      <c r="A39" t="inlineStr">
        <is>
          <t>A 73932-2021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46284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Backsippa</t>
        </is>
      </c>
      <c r="W39">
        <f>HYPERLINK("https://klasma.github.io/Logging_1491/artfynd/A 73932-2021 artfynd.xlsx", "A 73932-2021")</f>
        <v/>
      </c>
      <c r="X39">
        <f>HYPERLINK("https://klasma.github.io/Logging_1491/kartor/A 73932-2021 karta.png", "A 73932-2021")</f>
        <v/>
      </c>
      <c r="Y39">
        <f>HYPERLINK("https://klasma.github.io/Logging_1491/kartor_geotiff/A 73932-2021 georefererad karta.tif", "A 73932-2021")</f>
        <v/>
      </c>
      <c r="AA39">
        <f>HYPERLINK("https://klasma.github.io/Logging_1491/klagomål/A 73932-2021 FSC-klagomål.docx", "A 73932-2021")</f>
        <v/>
      </c>
      <c r="AB39">
        <f>HYPERLINK("https://klasma.github.io/Logging_1491/klagomålsmail/A 73932-2021 FSC-klagomål mail.docx", "A 73932-2021")</f>
        <v/>
      </c>
      <c r="AC39">
        <f>HYPERLINK("https://klasma.github.io/Logging_1491/tillsyn/A 73932-2021 tillsynsbegäran.docx", "A 73932-2021")</f>
        <v/>
      </c>
      <c r="AD39">
        <f>HYPERLINK("https://klasma.github.io/Logging_1491/tillsynsmail/A 73932-2021 tillsynsbegäran mail.docx", "A 73932-2021")</f>
        <v/>
      </c>
    </row>
    <row r="40" ht="15" customHeight="1">
      <c r="A40" t="inlineStr">
        <is>
          <t>A 7347-2023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44971</v>
      </c>
      <c r="E40" s="1" t="n">
        <v>46284</v>
      </c>
      <c r="F40" t="inlineStr">
        <is>
          <t>VÄSTRA GÖTALANDS LÄN</t>
        </is>
      </c>
      <c r="G40" t="inlineStr">
        <is>
          <t>ULRICEHAMN</t>
        </is>
      </c>
      <c r="I40" t="n">
        <v>0.6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Granspira</t>
        </is>
      </c>
      <c r="W40">
        <f>HYPERLINK("https://klasma.github.io/Logging_1491/artfynd/A 7347-2023 artfynd.xlsx", "A 7347-2023")</f>
        <v/>
      </c>
      <c r="X40">
        <f>HYPERLINK("https://klasma.github.io/Logging_1491/kartor/A 7347-2023 karta.png", "A 7347-2023")</f>
        <v/>
      </c>
      <c r="Y40">
        <f>HYPERLINK("https://klasma.github.io/Logging_1491/kartor_geotiff/A 7347-2023 georefererad karta.tif", "A 7347-2023")</f>
        <v/>
      </c>
      <c r="AA40">
        <f>HYPERLINK("https://klasma.github.io/Logging_1491/klagomål/A 7347-2023 FSC-klagomål.docx", "A 7347-2023")</f>
        <v/>
      </c>
      <c r="AB40">
        <f>HYPERLINK("https://klasma.github.io/Logging_1491/klagomålsmail/A 7347-2023 FSC-klagomål mail.docx", "A 7347-2023")</f>
        <v/>
      </c>
      <c r="AC40">
        <f>HYPERLINK("https://klasma.github.io/Logging_1491/tillsyn/A 7347-2023 tillsynsbegäran.docx", "A 7347-2023")</f>
        <v/>
      </c>
      <c r="AD40">
        <f>HYPERLINK("https://klasma.github.io/Logging_1491/tillsynsmail/A 7347-2023 tillsynsbegäran mail.docx", "A 7347-2023")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46284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46284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46284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46284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46284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46284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46284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46284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46284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46284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46284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46284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46284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46284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46284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46284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46284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46284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46284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46284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46284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46284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46284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46284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46284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46284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46284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46284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46284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46284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46284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46284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46284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46284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46284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46284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46284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46284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46284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46284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46284</v>
      </c>
      <c r="F81" t="inlineStr">
        <is>
          <t>VÄSTRA GÖTALANDS LÄN</t>
        </is>
      </c>
      <c r="G81" t="inlineStr">
        <is>
          <t>ULRICEHAMN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46284</v>
      </c>
      <c r="F82" t="inlineStr">
        <is>
          <t>VÄSTRA GÖTALANDS LÄN</t>
        </is>
      </c>
      <c r="G82" t="inlineStr">
        <is>
          <t>ULRICEHAMN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71863-2021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44543</v>
      </c>
      <c r="E83" s="1" t="n">
        <v>46284</v>
      </c>
      <c r="F83" t="inlineStr">
        <is>
          <t>VÄSTRA GÖTALANDS LÄN</t>
        </is>
      </c>
      <c r="G83" t="inlineStr">
        <is>
          <t>ULRICEHAMN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46284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46284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46284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46284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46284</v>
      </c>
      <c r="F88" t="inlineStr">
        <is>
          <t>VÄSTRA GÖTALANDS LÄN</t>
        </is>
      </c>
      <c r="G88" t="inlineStr">
        <is>
          <t>ULRICEHAMN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44656</v>
      </c>
      <c r="E89" s="1" t="n">
        <v>46284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46284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46284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46284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46284</v>
      </c>
      <c r="F93" t="inlineStr">
        <is>
          <t>VÄSTRA GÖTALANDS LÄN</t>
        </is>
      </c>
      <c r="G93" t="inlineStr">
        <is>
          <t>ULRICEHAMN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46284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46284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46284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46284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46284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46284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46284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46284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46284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46284</v>
      </c>
      <c r="F103" t="inlineStr">
        <is>
          <t>VÄSTRA GÖTALANDS LÄN</t>
        </is>
      </c>
      <c r="G103" t="inlineStr">
        <is>
          <t>ULRICEHAMN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46284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46284</v>
      </c>
      <c r="F105" t="inlineStr">
        <is>
          <t>VÄSTRA GÖTALANDS LÄN</t>
        </is>
      </c>
      <c r="G105" t="inlineStr">
        <is>
          <t>ULRICEHAMN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46284</v>
      </c>
      <c r="F106" t="inlineStr">
        <is>
          <t>VÄSTRA GÖTALANDS LÄN</t>
        </is>
      </c>
      <c r="G106" t="inlineStr">
        <is>
          <t>ULRICEHAMN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46284</v>
      </c>
      <c r="F107" t="inlineStr">
        <is>
          <t>VÄSTRA GÖTALANDS LÄN</t>
        </is>
      </c>
      <c r="G107" t="inlineStr">
        <is>
          <t>ULRICEHAMN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8170-2022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44609</v>
      </c>
      <c r="E108" s="1" t="n">
        <v>46284</v>
      </c>
      <c r="F108" t="inlineStr">
        <is>
          <t>VÄSTRA GÖTALANDS LÄN</t>
        </is>
      </c>
      <c r="G108" t="inlineStr">
        <is>
          <t>ULRICEHAMN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46284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46284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44772</v>
      </c>
      <c r="E111" s="1" t="n">
        <v>46284</v>
      </c>
      <c r="F111" t="inlineStr">
        <is>
          <t>VÄSTRA GÖTALANDS LÄN</t>
        </is>
      </c>
      <c r="G111" t="inlineStr">
        <is>
          <t>ULRICEHAMN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44945</v>
      </c>
      <c r="E112" s="1" t="n">
        <v>46284</v>
      </c>
      <c r="F112" t="inlineStr">
        <is>
          <t>VÄSTRA GÖTALANDS LÄN</t>
        </is>
      </c>
      <c r="G112" t="inlineStr">
        <is>
          <t>ULRICEHAMN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46284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46284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46284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46284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46284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46284</v>
      </c>
      <c r="F118" t="inlineStr">
        <is>
          <t>VÄSTRA GÖTALANDS LÄN</t>
        </is>
      </c>
      <c r="G118" t="inlineStr">
        <is>
          <t>ULRICEHAMN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46284</v>
      </c>
      <c r="F119" t="inlineStr">
        <is>
          <t>VÄSTRA GÖTALANDS LÄN</t>
        </is>
      </c>
      <c r="G119" t="inlineStr">
        <is>
          <t>ULRICEHAMN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46284</v>
      </c>
      <c r="F120" t="inlineStr">
        <is>
          <t>VÄSTRA GÖTALANDS LÄN</t>
        </is>
      </c>
      <c r="G120" t="inlineStr">
        <is>
          <t>ULRICEHAMN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46284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46284</v>
      </c>
      <c r="F122" t="inlineStr">
        <is>
          <t>VÄSTRA GÖTALANDS LÄN</t>
        </is>
      </c>
      <c r="G122" t="inlineStr">
        <is>
          <t>ULRICEHAMN</t>
        </is>
      </c>
      <c r="H122" t="inlineStr">
        <is>
          <t>Sveaskog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46284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45585</v>
      </c>
      <c r="E124" s="1" t="n">
        <v>46284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46284</v>
      </c>
      <c r="F125" t="inlineStr">
        <is>
          <t>VÄSTRA GÖTALANDS LÄN</t>
        </is>
      </c>
      <c r="G125" t="inlineStr">
        <is>
          <t>ULRICEHAMN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46284</v>
      </c>
      <c r="F126" t="inlineStr">
        <is>
          <t>VÄSTRA GÖTALANDS LÄN</t>
        </is>
      </c>
      <c r="G126" t="inlineStr">
        <is>
          <t>ULRICEHAMN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46284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46284</v>
      </c>
      <c r="F128" t="inlineStr">
        <is>
          <t>VÄSTRA GÖTALANDS LÄN</t>
        </is>
      </c>
      <c r="G128" t="inlineStr">
        <is>
          <t>ULRICEHAMN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44760</v>
      </c>
      <c r="E129" s="1" t="n">
        <v>46284</v>
      </c>
      <c r="F129" t="inlineStr">
        <is>
          <t>VÄSTRA GÖTALANDS LÄN</t>
        </is>
      </c>
      <c r="G129" t="inlineStr">
        <is>
          <t>ULRICEHAMN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46284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46284</v>
      </c>
      <c r="F131" t="inlineStr">
        <is>
          <t>VÄSTRA GÖTALANDS LÄN</t>
        </is>
      </c>
      <c r="G131" t="inlineStr">
        <is>
          <t>ULRICEHAMN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46284</v>
      </c>
      <c r="F132" t="inlineStr">
        <is>
          <t>VÄSTRA GÖTALANDS LÄN</t>
        </is>
      </c>
      <c r="G132" t="inlineStr">
        <is>
          <t>ULRICEHAMN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46284</v>
      </c>
      <c r="F133" t="inlineStr">
        <is>
          <t>VÄSTRA GÖTALANDS LÄN</t>
        </is>
      </c>
      <c r="G133" t="inlineStr">
        <is>
          <t>ULRICEHAMN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46284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44724</v>
      </c>
      <c r="E135" s="1" t="n">
        <v>46284</v>
      </c>
      <c r="F135" t="inlineStr">
        <is>
          <t>VÄSTRA GÖTALANDS LÄN</t>
        </is>
      </c>
      <c r="G135" t="inlineStr">
        <is>
          <t>ULRICEHAMN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44697</v>
      </c>
      <c r="E136" s="1" t="n">
        <v>46284</v>
      </c>
      <c r="F136" t="inlineStr">
        <is>
          <t>VÄSTRA GÖTALANDS LÄN</t>
        </is>
      </c>
      <c r="G136" t="inlineStr">
        <is>
          <t>ULRICEHAMN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46284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46284</v>
      </c>
      <c r="F138" t="inlineStr">
        <is>
          <t>VÄSTRA GÖTALANDS LÄN</t>
        </is>
      </c>
      <c r="G138" t="inlineStr">
        <is>
          <t>ULRICEHAMN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46284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45344</v>
      </c>
      <c r="E140" s="1" t="n">
        <v>46284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44477</v>
      </c>
      <c r="E141" s="1" t="n">
        <v>46284</v>
      </c>
      <c r="F141" t="inlineStr">
        <is>
          <t>VÄSTRA GÖTALANDS LÄN</t>
        </is>
      </c>
      <c r="G141" t="inlineStr">
        <is>
          <t>ULRICEHAMN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46284</v>
      </c>
      <c r="F142" t="inlineStr">
        <is>
          <t>VÄSTRA GÖTALANDS LÄN</t>
        </is>
      </c>
      <c r="G142" t="inlineStr">
        <is>
          <t>ULRICEHAMN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45070</v>
      </c>
      <c r="E143" s="1" t="n">
        <v>46284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46284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46284</v>
      </c>
      <c r="F145" t="inlineStr">
        <is>
          <t>VÄSTRA GÖTALANDS LÄN</t>
        </is>
      </c>
      <c r="G145" t="inlineStr">
        <is>
          <t>ULRICEHAMN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46284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46284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46284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46284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45606</v>
      </c>
      <c r="E150" s="1" t="n">
        <v>46284</v>
      </c>
      <c r="F150" t="inlineStr">
        <is>
          <t>VÄSTRA GÖTALANDS LÄN</t>
        </is>
      </c>
      <c r="G150" t="inlineStr">
        <is>
          <t>ULRICEHAMN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46284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46284</v>
      </c>
      <c r="F152" t="inlineStr">
        <is>
          <t>VÄSTRA GÖTALANDS LÄN</t>
        </is>
      </c>
      <c r="G152" t="inlineStr">
        <is>
          <t>ULRICEHAMN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46284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46284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45691</v>
      </c>
      <c r="E155" s="1" t="n">
        <v>46284</v>
      </c>
      <c r="F155" t="inlineStr">
        <is>
          <t>VÄSTRA GÖTALANDS LÄN</t>
        </is>
      </c>
      <c r="G155" t="inlineStr">
        <is>
          <t>ULRICEHAMN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46284</v>
      </c>
      <c r="F156" t="inlineStr">
        <is>
          <t>VÄSTRA GÖTALANDS LÄN</t>
        </is>
      </c>
      <c r="G156" t="inlineStr">
        <is>
          <t>ULRICEHAMN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46284</v>
      </c>
      <c r="F157" t="inlineStr">
        <is>
          <t>VÄSTRA GÖTALANDS LÄN</t>
        </is>
      </c>
      <c r="G157" t="inlineStr">
        <is>
          <t>ULRICEHAMN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45181</v>
      </c>
      <c r="E158" s="1" t="n">
        <v>46284</v>
      </c>
      <c r="F158" t="inlineStr">
        <is>
          <t>VÄSTRA GÖTALANDS LÄN</t>
        </is>
      </c>
      <c r="G158" t="inlineStr">
        <is>
          <t>ULRICEHAMN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45227</v>
      </c>
      <c r="E159" s="1" t="n">
        <v>46284</v>
      </c>
      <c r="F159" t="inlineStr">
        <is>
          <t>VÄSTRA GÖTALANDS LÄN</t>
        </is>
      </c>
      <c r="G159" t="inlineStr">
        <is>
          <t>ULRICEHAMN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46284</v>
      </c>
      <c r="F160" t="inlineStr">
        <is>
          <t>VÄSTRA GÖTALANDS LÄN</t>
        </is>
      </c>
      <c r="G160" t="inlineStr">
        <is>
          <t>ULRICEHAMN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46284</v>
      </c>
      <c r="F161" t="inlineStr">
        <is>
          <t>VÄSTRA GÖTALANDS LÄN</t>
        </is>
      </c>
      <c r="G161" t="inlineStr">
        <is>
          <t>ULRICEHAMN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46284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46284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45239</v>
      </c>
      <c r="E164" s="1" t="n">
        <v>46284</v>
      </c>
      <c r="F164" t="inlineStr">
        <is>
          <t>VÄSTRA GÖTALANDS LÄN</t>
        </is>
      </c>
      <c r="G164" t="inlineStr">
        <is>
          <t>ULRICEHAMN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46284</v>
      </c>
      <c r="F165" t="inlineStr">
        <is>
          <t>VÄSTRA GÖTALANDS LÄN</t>
        </is>
      </c>
      <c r="G165" t="inlineStr">
        <is>
          <t>ULRICEHAMN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46284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38640-2023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45162</v>
      </c>
      <c r="E167" s="1" t="n">
        <v>46284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45334</v>
      </c>
      <c r="E168" s="1" t="n">
        <v>46284</v>
      </c>
      <c r="F168" t="inlineStr">
        <is>
          <t>VÄSTRA GÖTALANDS LÄN</t>
        </is>
      </c>
      <c r="G168" t="inlineStr">
        <is>
          <t>ULRICEHAMN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46284</v>
      </c>
      <c r="F169" t="inlineStr">
        <is>
          <t>VÄSTRA GÖTALANDS LÄN</t>
        </is>
      </c>
      <c r="G169" t="inlineStr">
        <is>
          <t>ULRICEHAMN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46284</v>
      </c>
      <c r="F170" t="inlineStr">
        <is>
          <t>VÄSTRA GÖTALANDS LÄN</t>
        </is>
      </c>
      <c r="G170" t="inlineStr">
        <is>
          <t>ULRICEHAMN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45482</v>
      </c>
      <c r="E171" s="1" t="n">
        <v>46284</v>
      </c>
      <c r="F171" t="inlineStr">
        <is>
          <t>VÄSTRA GÖTALANDS LÄN</t>
        </is>
      </c>
      <c r="G171" t="inlineStr">
        <is>
          <t>ULRICEHAMN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45598</v>
      </c>
      <c r="E172" s="1" t="n">
        <v>46284</v>
      </c>
      <c r="F172" t="inlineStr">
        <is>
          <t>VÄSTRA GÖTALANDS LÄN</t>
        </is>
      </c>
      <c r="G172" t="inlineStr">
        <is>
          <t>ULRICEHAMN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46284</v>
      </c>
      <c r="F173" t="inlineStr">
        <is>
          <t>VÄSTRA GÖTALANDS LÄN</t>
        </is>
      </c>
      <c r="G173" t="inlineStr">
        <is>
          <t>ULRICEHAMN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44566</v>
      </c>
      <c r="E174" s="1" t="n">
        <v>46284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65872-2021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46284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46284</v>
      </c>
      <c r="F176" t="inlineStr">
        <is>
          <t>VÄSTRA GÖTALANDS LÄN</t>
        </is>
      </c>
      <c r="G176" t="inlineStr">
        <is>
          <t>ULRICEHAMN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44824</v>
      </c>
      <c r="E177" s="1" t="n">
        <v>46284</v>
      </c>
      <c r="F177" t="inlineStr">
        <is>
          <t>VÄSTRA GÖTALANDS LÄN</t>
        </is>
      </c>
      <c r="G177" t="inlineStr">
        <is>
          <t>ULRICEHAMN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46284</v>
      </c>
      <c r="F178" t="inlineStr">
        <is>
          <t>VÄSTRA GÖTALANDS LÄN</t>
        </is>
      </c>
      <c r="G178" t="inlineStr">
        <is>
          <t>ULRICEHAMN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46284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Kommuner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46284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46284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46284</v>
      </c>
      <c r="F182" t="inlineStr">
        <is>
          <t>VÄSTRA GÖTALANDS LÄN</t>
        </is>
      </c>
      <c r="G182" t="inlineStr">
        <is>
          <t>ULRICEHAMN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46284</v>
      </c>
      <c r="F183" t="inlineStr">
        <is>
          <t>VÄSTRA GÖTALANDS LÄN</t>
        </is>
      </c>
      <c r="G183" t="inlineStr">
        <is>
          <t>ULRICEHAMN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46284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44971</v>
      </c>
      <c r="E185" s="1" t="n">
        <v>46284</v>
      </c>
      <c r="F185" t="inlineStr">
        <is>
          <t>VÄSTRA GÖTALANDS LÄN</t>
        </is>
      </c>
      <c r="G185" t="inlineStr">
        <is>
          <t>ULRICEHAMN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44970</v>
      </c>
      <c r="E186" s="1" t="n">
        <v>46284</v>
      </c>
      <c r="F186" t="inlineStr">
        <is>
          <t>VÄSTRA GÖTALANDS LÄN</t>
        </is>
      </c>
      <c r="G186" t="inlineStr">
        <is>
          <t>ULRICEHAMN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46284</v>
      </c>
      <c r="F187" t="inlineStr">
        <is>
          <t>VÄSTRA GÖTALANDS LÄN</t>
        </is>
      </c>
      <c r="G187" t="inlineStr">
        <is>
          <t>ULRICEHAMN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45683</v>
      </c>
      <c r="E188" s="1" t="n">
        <v>46284</v>
      </c>
      <c r="F188" t="inlineStr">
        <is>
          <t>VÄSTRA GÖTALANDS LÄN</t>
        </is>
      </c>
      <c r="G188" t="inlineStr">
        <is>
          <t>ULRICEHAMN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46284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46284</v>
      </c>
      <c r="F190" t="inlineStr">
        <is>
          <t>VÄSTRA GÖTALANDS LÄN</t>
        </is>
      </c>
      <c r="G190" t="inlineStr">
        <is>
          <t>ULRICEHAMN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46284</v>
      </c>
      <c r="F191" t="inlineStr">
        <is>
          <t>VÄSTRA GÖTALANDS LÄN</t>
        </is>
      </c>
      <c r="G191" t="inlineStr">
        <is>
          <t>ULRICEHAMN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46284</v>
      </c>
      <c r="F192" t="inlineStr">
        <is>
          <t>VÄSTRA GÖTALANDS LÄN</t>
        </is>
      </c>
      <c r="G192" t="inlineStr">
        <is>
          <t>ULRICEHAMN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46284</v>
      </c>
      <c r="F193" t="inlineStr">
        <is>
          <t>VÄSTRA GÖTALANDS LÄN</t>
        </is>
      </c>
      <c r="G193" t="inlineStr">
        <is>
          <t>ULRICEHAMN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46284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46284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46284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46284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44947</v>
      </c>
      <c r="E198" s="1" t="n">
        <v>46284</v>
      </c>
      <c r="F198" t="inlineStr">
        <is>
          <t>VÄSTRA GÖTALANDS LÄN</t>
        </is>
      </c>
      <c r="G198" t="inlineStr">
        <is>
          <t>ULRICEHAMN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45157</v>
      </c>
      <c r="E199" s="1" t="n">
        <v>46284</v>
      </c>
      <c r="F199" t="inlineStr">
        <is>
          <t>VÄSTRA GÖTALANDS LÄN</t>
        </is>
      </c>
      <c r="G199" t="inlineStr">
        <is>
          <t>ULRICEHAMN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46284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46284</v>
      </c>
      <c r="F201" t="inlineStr">
        <is>
          <t>VÄSTRA GÖTALANDS LÄN</t>
        </is>
      </c>
      <c r="G201" t="inlineStr">
        <is>
          <t>ULRICEHAMN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46284</v>
      </c>
      <c r="F202" t="inlineStr">
        <is>
          <t>VÄSTRA GÖTALANDS LÄN</t>
        </is>
      </c>
      <c r="G202" t="inlineStr">
        <is>
          <t>ULRICEHAMN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46284</v>
      </c>
      <c r="F203" t="inlineStr">
        <is>
          <t>VÄSTRA GÖTALANDS LÄN</t>
        </is>
      </c>
      <c r="G203" t="inlineStr">
        <is>
          <t>ULRICEHAMN</t>
        </is>
      </c>
      <c r="H203" t="inlineStr">
        <is>
          <t>Kommuner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45227</v>
      </c>
      <c r="E204" s="1" t="n">
        <v>46284</v>
      </c>
      <c r="F204" t="inlineStr">
        <is>
          <t>VÄSTRA GÖTALANDS LÄN</t>
        </is>
      </c>
      <c r="G204" t="inlineStr">
        <is>
          <t>ULRICEHAMN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45227</v>
      </c>
      <c r="E205" s="1" t="n">
        <v>46284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46284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46284</v>
      </c>
      <c r="F207" t="inlineStr">
        <is>
          <t>VÄSTRA GÖTALANDS LÄN</t>
        </is>
      </c>
      <c r="G207" t="inlineStr">
        <is>
          <t>ULRICEHAMN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52132-2024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45608</v>
      </c>
      <c r="E208" s="1" t="n">
        <v>46284</v>
      </c>
      <c r="F208" t="inlineStr">
        <is>
          <t>VÄSTRA GÖTALANDS LÄN</t>
        </is>
      </c>
      <c r="G208" t="inlineStr">
        <is>
          <t>ULRICEHAMN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44800</v>
      </c>
      <c r="E209" s="1" t="n">
        <v>46284</v>
      </c>
      <c r="F209" t="inlineStr">
        <is>
          <t>VÄSTRA GÖTALANDS LÄN</t>
        </is>
      </c>
      <c r="G209" t="inlineStr">
        <is>
          <t>ULRICEHAMN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44663</v>
      </c>
      <c r="E210" s="1" t="n">
        <v>46284</v>
      </c>
      <c r="F210" t="inlineStr">
        <is>
          <t>VÄSTRA GÖTALANDS LÄN</t>
        </is>
      </c>
      <c r="G210" t="inlineStr">
        <is>
          <t>ULRICEHAMN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46284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45663</v>
      </c>
      <c r="E212" s="1" t="n">
        <v>46284</v>
      </c>
      <c r="F212" t="inlineStr">
        <is>
          <t>VÄSTRA GÖTALANDS LÄN</t>
        </is>
      </c>
      <c r="G212" t="inlineStr">
        <is>
          <t>ULRICEHAMN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46284</v>
      </c>
      <c r="F213" t="inlineStr">
        <is>
          <t>VÄSTRA GÖTALANDS LÄN</t>
        </is>
      </c>
      <c r="G213" t="inlineStr">
        <is>
          <t>ULRICEHAMN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44663</v>
      </c>
      <c r="E214" s="1" t="n">
        <v>46284</v>
      </c>
      <c r="F214" t="inlineStr">
        <is>
          <t>VÄSTRA GÖTALANDS LÄN</t>
        </is>
      </c>
      <c r="G214" t="inlineStr">
        <is>
          <t>ULRICEHAMN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46284</v>
      </c>
      <c r="F215" t="inlineStr">
        <is>
          <t>VÄSTRA GÖTALANDS LÄN</t>
        </is>
      </c>
      <c r="G215" t="inlineStr">
        <is>
          <t>ULRICEHAMN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7428-2022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44606</v>
      </c>
      <c r="E216" s="1" t="n">
        <v>46284</v>
      </c>
      <c r="F216" t="inlineStr">
        <is>
          <t>VÄSTRA GÖTALANDS LÄN</t>
        </is>
      </c>
      <c r="G216" t="inlineStr">
        <is>
          <t>ULRICEHAMN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46284</v>
      </c>
      <c r="F217" t="inlineStr">
        <is>
          <t>VÄSTRA GÖTALANDS LÄN</t>
        </is>
      </c>
      <c r="G217" t="inlineStr">
        <is>
          <t>ULRICEHAMN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46284</v>
      </c>
      <c r="F218" t="inlineStr">
        <is>
          <t>VÄSTRA GÖTALANDS LÄN</t>
        </is>
      </c>
      <c r="G218" t="inlineStr">
        <is>
          <t>ULRICEHAMN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44607</v>
      </c>
      <c r="E219" s="1" t="n">
        <v>46284</v>
      </c>
      <c r="F219" t="inlineStr">
        <is>
          <t>VÄSTRA GÖTALANDS LÄN</t>
        </is>
      </c>
      <c r="G219" t="inlineStr">
        <is>
          <t>ULRICEHAMN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44607</v>
      </c>
      <c r="E220" s="1" t="n">
        <v>46284</v>
      </c>
      <c r="F220" t="inlineStr">
        <is>
          <t>VÄSTRA GÖTALANDS LÄN</t>
        </is>
      </c>
      <c r="G220" t="inlineStr">
        <is>
          <t>ULRICEHAMN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64794-2023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45282</v>
      </c>
      <c r="E221" s="1" t="n">
        <v>46284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46284</v>
      </c>
      <c r="F222" t="inlineStr">
        <is>
          <t>VÄSTRA GÖTALANDS LÄN</t>
        </is>
      </c>
      <c r="G222" t="inlineStr">
        <is>
          <t>ULRICEHAMN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74199-2021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44558</v>
      </c>
      <c r="E223" s="1" t="n">
        <v>46284</v>
      </c>
      <c r="F223" t="inlineStr">
        <is>
          <t>VÄSTRA GÖTALANDS LÄN</t>
        </is>
      </c>
      <c r="G223" t="inlineStr">
        <is>
          <t>ULRICEHAMN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46284</v>
      </c>
      <c r="F224" t="inlineStr">
        <is>
          <t>VÄSTRA GÖTALANDS LÄN</t>
        </is>
      </c>
      <c r="G224" t="inlineStr">
        <is>
          <t>ULRICEHAMN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46284</v>
      </c>
      <c r="F225" t="inlineStr">
        <is>
          <t>VÄSTRA GÖTALANDS LÄN</t>
        </is>
      </c>
      <c r="G225" t="inlineStr">
        <is>
          <t>ULRICEHAMN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46284</v>
      </c>
      <c r="F226" t="inlineStr">
        <is>
          <t>VÄSTRA GÖTALANDS LÄN</t>
        </is>
      </c>
      <c r="G226" t="inlineStr">
        <is>
          <t>ULRICEHAMN</t>
        </is>
      </c>
      <c r="I226" t="n">
        <v>14.1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46284</v>
      </c>
      <c r="F227" t="inlineStr">
        <is>
          <t>VÄSTRA GÖTALANDS LÄN</t>
        </is>
      </c>
      <c r="G227" t="inlineStr">
        <is>
          <t>ULRICEHAMN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46284</v>
      </c>
      <c r="F228" t="inlineStr">
        <is>
          <t>VÄSTRA GÖTALANDS LÄN</t>
        </is>
      </c>
      <c r="G228" t="inlineStr">
        <is>
          <t>ULRICEHAMN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45553</v>
      </c>
      <c r="E229" s="1" t="n">
        <v>46284</v>
      </c>
      <c r="F229" t="inlineStr">
        <is>
          <t>VÄSTRA GÖTALANDS LÄN</t>
        </is>
      </c>
      <c r="G229" t="inlineStr">
        <is>
          <t>ULRICEHAMN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46284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46284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46284</v>
      </c>
      <c r="F232" t="inlineStr">
        <is>
          <t>VÄSTRA GÖTALANDS LÄN</t>
        </is>
      </c>
      <c r="G232" t="inlineStr">
        <is>
          <t>ULRICEHAMN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7094-2024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45343</v>
      </c>
      <c r="E233" s="1" t="n">
        <v>46284</v>
      </c>
      <c r="F233" t="inlineStr">
        <is>
          <t>VÄSTRA GÖTALANDS LÄN</t>
        </is>
      </c>
      <c r="G233" t="inlineStr">
        <is>
          <t>ULRICEHAMN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46284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46284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46284</v>
      </c>
      <c r="F236" t="inlineStr">
        <is>
          <t>VÄSTRA GÖTALANDS LÄN</t>
        </is>
      </c>
      <c r="G236" t="inlineStr">
        <is>
          <t>ULRICEHAMN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46284</v>
      </c>
      <c r="F237" t="inlineStr">
        <is>
          <t>VÄSTRA GÖTALANDS LÄN</t>
        </is>
      </c>
      <c r="G237" t="inlineStr">
        <is>
          <t>ULRICEHAMN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46284</v>
      </c>
      <c r="F238" t="inlineStr">
        <is>
          <t>VÄSTRA GÖTALANDS LÄN</t>
        </is>
      </c>
      <c r="G238" t="inlineStr">
        <is>
          <t>ULRICEHAMN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46284</v>
      </c>
      <c r="F239" t="inlineStr">
        <is>
          <t>VÄSTRA GÖTALANDS LÄN</t>
        </is>
      </c>
      <c r="G239" t="inlineStr">
        <is>
          <t>ULRICEHAMN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46284</v>
      </c>
      <c r="F240" t="inlineStr">
        <is>
          <t>VÄSTRA GÖTALANDS LÄN</t>
        </is>
      </c>
      <c r="G240" t="inlineStr">
        <is>
          <t>ULRICEHAMN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46284</v>
      </c>
      <c r="F241" t="inlineStr">
        <is>
          <t>VÄSTRA GÖTALANDS LÄN</t>
        </is>
      </c>
      <c r="G241" t="inlineStr">
        <is>
          <t>ULRICEHAMN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46284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46284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45159</v>
      </c>
      <c r="E244" s="1" t="n">
        <v>46284</v>
      </c>
      <c r="F244" t="inlineStr">
        <is>
          <t>VÄSTRA GÖTALANDS LÄN</t>
        </is>
      </c>
      <c r="G244" t="inlineStr">
        <is>
          <t>ULRICEHAMN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12551-2022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44638</v>
      </c>
      <c r="E245" s="1" t="n">
        <v>46284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Kommuner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12553-2022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44638</v>
      </c>
      <c r="E246" s="1" t="n">
        <v>46284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46284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46284</v>
      </c>
      <c r="F248" t="inlineStr">
        <is>
          <t>VÄSTRA GÖTALANDS LÄN</t>
        </is>
      </c>
      <c r="G248" t="inlineStr">
        <is>
          <t>ULRICEHAMN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46284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46284</v>
      </c>
      <c r="F250" t="inlineStr">
        <is>
          <t>VÄSTRA GÖTALANDS LÄN</t>
        </is>
      </c>
      <c r="G250" t="inlineStr">
        <is>
          <t>ULRICEHAMN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46284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46284</v>
      </c>
      <c r="F252" t="inlineStr">
        <is>
          <t>VÄSTRA GÖTALANDS LÄN</t>
        </is>
      </c>
      <c r="G252" t="inlineStr">
        <is>
          <t>ULRICEHAMN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45252</v>
      </c>
      <c r="E253" s="1" t="n">
        <v>46284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45795</v>
      </c>
      <c r="E254" s="1" t="n">
        <v>46284</v>
      </c>
      <c r="F254" t="inlineStr">
        <is>
          <t>VÄSTRA GÖTALANDS LÄN</t>
        </is>
      </c>
      <c r="G254" t="inlineStr">
        <is>
          <t>ULRICEHAMN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46284</v>
      </c>
      <c r="F255" t="inlineStr">
        <is>
          <t>VÄSTRA GÖTALANDS LÄN</t>
        </is>
      </c>
      <c r="G255" t="inlineStr">
        <is>
          <t>ULRICEHAMN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45354</v>
      </c>
      <c r="E256" s="1" t="n">
        <v>46284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46284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45233</v>
      </c>
      <c r="E258" s="1" t="n">
        <v>46284</v>
      </c>
      <c r="F258" t="inlineStr">
        <is>
          <t>VÄSTRA GÖTALANDS LÄN</t>
        </is>
      </c>
      <c r="G258" t="inlineStr">
        <is>
          <t>ULRICEHAMN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46284</v>
      </c>
      <c r="F259" t="inlineStr">
        <is>
          <t>VÄSTRA GÖTALANDS LÄN</t>
        </is>
      </c>
      <c r="G259" t="inlineStr">
        <is>
          <t>ULRICEHAMN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46284</v>
      </c>
      <c r="F260" t="inlineStr">
        <is>
          <t>VÄSTRA GÖTALANDS LÄN</t>
        </is>
      </c>
      <c r="G260" t="inlineStr">
        <is>
          <t>ULRICEHAMN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46284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45343</v>
      </c>
      <c r="E262" s="1" t="n">
        <v>46284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46284</v>
      </c>
      <c r="F263" t="inlineStr">
        <is>
          <t>VÄSTRA GÖTALANDS LÄN</t>
        </is>
      </c>
      <c r="G263" t="inlineStr">
        <is>
          <t>ULRICEHAMN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46284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46284</v>
      </c>
      <c r="F265" t="inlineStr">
        <is>
          <t>VÄSTRA GÖTALANDS LÄN</t>
        </is>
      </c>
      <c r="G265" t="inlineStr">
        <is>
          <t>ULRICEHAMN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46284</v>
      </c>
      <c r="F266" t="inlineStr">
        <is>
          <t>VÄSTRA GÖTALANDS LÄN</t>
        </is>
      </c>
      <c r="G266" t="inlineStr">
        <is>
          <t>ULRICEHAMN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44636</v>
      </c>
      <c r="E267" s="1" t="n">
        <v>46284</v>
      </c>
      <c r="F267" t="inlineStr">
        <is>
          <t>VÄSTRA GÖTALANDS LÄN</t>
        </is>
      </c>
      <c r="G267" t="inlineStr">
        <is>
          <t>ULRICEHAMN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46284</v>
      </c>
      <c r="F268" t="inlineStr">
        <is>
          <t>VÄSTRA GÖTALANDS LÄN</t>
        </is>
      </c>
      <c r="G268" t="inlineStr">
        <is>
          <t>ULRICEHAMN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46284</v>
      </c>
      <c r="F269" t="inlineStr">
        <is>
          <t>VÄSTRA GÖTALANDS LÄN</t>
        </is>
      </c>
      <c r="G269" t="inlineStr">
        <is>
          <t>ULRICEHAMN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46284</v>
      </c>
      <c r="F270" t="inlineStr">
        <is>
          <t>VÄSTRA GÖTALANDS LÄN</t>
        </is>
      </c>
      <c r="G270" t="inlineStr">
        <is>
          <t>ULRICEHAMN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46284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46284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46284</v>
      </c>
      <c r="F273" t="inlineStr">
        <is>
          <t>VÄSTRA GÖTALANDS LÄN</t>
        </is>
      </c>
      <c r="G273" t="inlineStr">
        <is>
          <t>ULRICEHAMN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46284</v>
      </c>
      <c r="F274" t="inlineStr">
        <is>
          <t>VÄSTRA GÖTALANDS LÄN</t>
        </is>
      </c>
      <c r="G274" t="inlineStr">
        <is>
          <t>ULRICEHAMN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46284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46284</v>
      </c>
      <c r="F276" t="inlineStr">
        <is>
          <t>VÄSTRA GÖTALANDS LÄN</t>
        </is>
      </c>
      <c r="G276" t="inlineStr">
        <is>
          <t>ULRICEHAMN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45636</v>
      </c>
      <c r="E277" s="1" t="n">
        <v>46284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46284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46284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46284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45075</v>
      </c>
      <c r="E281" s="1" t="n">
        <v>46284</v>
      </c>
      <c r="F281" t="inlineStr">
        <is>
          <t>VÄSTRA GÖTALANDS LÄN</t>
        </is>
      </c>
      <c r="G281" t="inlineStr">
        <is>
          <t>ULRICEHAMN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46284</v>
      </c>
      <c r="F282" t="inlineStr">
        <is>
          <t>VÄSTRA GÖTALANDS LÄN</t>
        </is>
      </c>
      <c r="G282" t="inlineStr">
        <is>
          <t>ULRICEHAMN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46284</v>
      </c>
      <c r="F283" t="inlineStr">
        <is>
          <t>VÄSTRA GÖTALANDS LÄN</t>
        </is>
      </c>
      <c r="G283" t="inlineStr">
        <is>
          <t>ULRICEHAMN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45901</v>
      </c>
      <c r="E284" s="1" t="n">
        <v>46284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46284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56830-2022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44894</v>
      </c>
      <c r="E286" s="1" t="n">
        <v>46284</v>
      </c>
      <c r="F286" t="inlineStr">
        <is>
          <t>VÄSTRA GÖTALANDS LÄN</t>
        </is>
      </c>
      <c r="G286" t="inlineStr">
        <is>
          <t>ULRICEHAMN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46284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46284</v>
      </c>
      <c r="F288" t="inlineStr">
        <is>
          <t>VÄSTRA GÖTALANDS LÄN</t>
        </is>
      </c>
      <c r="G288" t="inlineStr">
        <is>
          <t>ULRICEHAMN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30057-2025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46284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45231</v>
      </c>
      <c r="E290" s="1" t="n">
        <v>46284</v>
      </c>
      <c r="F290" t="inlineStr">
        <is>
          <t>VÄSTRA GÖTALANDS LÄN</t>
        </is>
      </c>
      <c r="G290" t="inlineStr">
        <is>
          <t>ULRICEHAMN</t>
        </is>
      </c>
      <c r="I290" t="n">
        <v>14.7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26248-2023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45091</v>
      </c>
      <c r="E291" s="1" t="n">
        <v>46284</v>
      </c>
      <c r="F291" t="inlineStr">
        <is>
          <t>VÄSTRA GÖTALANDS LÄN</t>
        </is>
      </c>
      <c r="G291" t="inlineStr">
        <is>
          <t>ULRICEHAMN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45320</v>
      </c>
      <c r="E292" s="1" t="n">
        <v>46284</v>
      </c>
      <c r="F292" t="inlineStr">
        <is>
          <t>VÄSTRA GÖTALANDS LÄN</t>
        </is>
      </c>
      <c r="G292" t="inlineStr">
        <is>
          <t>ULRICEHAMN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46284</v>
      </c>
      <c r="F293" t="inlineStr">
        <is>
          <t>VÄSTRA GÖTALANDS LÄN</t>
        </is>
      </c>
      <c r="G293" t="inlineStr">
        <is>
          <t>ULRICEHAMN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45134</v>
      </c>
      <c r="E294" s="1" t="n">
        <v>46284</v>
      </c>
      <c r="F294" t="inlineStr">
        <is>
          <t>VÄSTRA GÖTALANDS LÄN</t>
        </is>
      </c>
      <c r="G294" t="inlineStr">
        <is>
          <t>ULRICEHAMN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46284</v>
      </c>
      <c r="F295" t="inlineStr">
        <is>
          <t>VÄSTRA GÖTALANDS LÄN</t>
        </is>
      </c>
      <c r="G295" t="inlineStr">
        <is>
          <t>ULRICEHAMN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46284</v>
      </c>
      <c r="F296" t="inlineStr">
        <is>
          <t>VÄSTRA GÖTALANDS LÄN</t>
        </is>
      </c>
      <c r="G296" t="inlineStr">
        <is>
          <t>ULRICEHAMN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46284</v>
      </c>
      <c r="F297" t="inlineStr">
        <is>
          <t>VÄSTRA GÖTALANDS LÄN</t>
        </is>
      </c>
      <c r="G297" t="inlineStr">
        <is>
          <t>ULRICEHAMN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46284</v>
      </c>
      <c r="F298" t="inlineStr">
        <is>
          <t>VÄSTRA GÖTALANDS LÄN</t>
        </is>
      </c>
      <c r="G298" t="inlineStr">
        <is>
          <t>ULRICEHAMN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46284</v>
      </c>
      <c r="F299" t="inlineStr">
        <is>
          <t>VÄSTRA GÖTALANDS LÄN</t>
        </is>
      </c>
      <c r="G299" t="inlineStr">
        <is>
          <t>ULRICEHAMN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46284</v>
      </c>
      <c r="F300" t="inlineStr">
        <is>
          <t>VÄSTRA GÖTALANDS LÄN</t>
        </is>
      </c>
      <c r="G300" t="inlineStr">
        <is>
          <t>ULRICEHAMN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44908</v>
      </c>
      <c r="E301" s="1" t="n">
        <v>46284</v>
      </c>
      <c r="F301" t="inlineStr">
        <is>
          <t>VÄSTRA GÖTALANDS LÄN</t>
        </is>
      </c>
      <c r="G301" t="inlineStr">
        <is>
          <t>ULRICEHAMN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46284</v>
      </c>
      <c r="F302" t="inlineStr">
        <is>
          <t>VÄSTRA GÖTALANDS LÄN</t>
        </is>
      </c>
      <c r="G302" t="inlineStr">
        <is>
          <t>ULRICEHAMN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46284</v>
      </c>
      <c r="F303" t="inlineStr">
        <is>
          <t>VÄSTRA GÖTALANDS LÄN</t>
        </is>
      </c>
      <c r="G303" t="inlineStr">
        <is>
          <t>ULRICEHAMN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46284</v>
      </c>
      <c r="F304" t="inlineStr">
        <is>
          <t>VÄSTRA GÖTALANDS LÄN</t>
        </is>
      </c>
      <c r="G304" t="inlineStr">
        <is>
          <t>ULRICEHAMN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46284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46284</v>
      </c>
      <c r="F306" t="inlineStr">
        <is>
          <t>VÄSTRA GÖTALANDS LÄN</t>
        </is>
      </c>
      <c r="G306" t="inlineStr">
        <is>
          <t>ULRICEHAMN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45922</v>
      </c>
      <c r="E307" s="1" t="n">
        <v>46284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46284</v>
      </c>
      <c r="F308" t="inlineStr">
        <is>
          <t>VÄSTRA GÖTALANDS LÄN</t>
        </is>
      </c>
      <c r="G308" t="inlineStr">
        <is>
          <t>ULRICEHAMN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46284</v>
      </c>
      <c r="F309" t="inlineStr">
        <is>
          <t>VÄSTRA GÖTALANDS LÄN</t>
        </is>
      </c>
      <c r="G309" t="inlineStr">
        <is>
          <t>ULRICEHAMN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45751-2025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46284</v>
      </c>
      <c r="F310" t="inlineStr">
        <is>
          <t>VÄSTRA GÖTALANDS LÄN</t>
        </is>
      </c>
      <c r="G310" t="inlineStr">
        <is>
          <t>ULRICEHAMN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46284</v>
      </c>
      <c r="F311" t="inlineStr">
        <is>
          <t>VÄSTRA GÖTALANDS LÄN</t>
        </is>
      </c>
      <c r="G311" t="inlineStr">
        <is>
          <t>ULRICEHAMN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46284</v>
      </c>
      <c r="F312" t="inlineStr">
        <is>
          <t>VÄSTRA GÖTALANDS LÄN</t>
        </is>
      </c>
      <c r="G312" t="inlineStr">
        <is>
          <t>ULRICEHAMN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46284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46284</v>
      </c>
      <c r="F314" t="inlineStr">
        <is>
          <t>VÄSTRA GÖTALANDS LÄN</t>
        </is>
      </c>
      <c r="G314" t="inlineStr">
        <is>
          <t>ULRICEHAMN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46284</v>
      </c>
      <c r="F315" t="inlineStr">
        <is>
          <t>VÄSTRA GÖTALANDS LÄN</t>
        </is>
      </c>
      <c r="G315" t="inlineStr">
        <is>
          <t>ULRICEHAMN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46284</v>
      </c>
      <c r="F316" t="inlineStr">
        <is>
          <t>VÄSTRA GÖTALANDS LÄN</t>
        </is>
      </c>
      <c r="G316" t="inlineStr">
        <is>
          <t>ULRICEHAMN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46284</v>
      </c>
      <c r="F317" t="inlineStr">
        <is>
          <t>VÄSTRA GÖTALANDS LÄN</t>
        </is>
      </c>
      <c r="G317" t="inlineStr">
        <is>
          <t>ULRICEHAMN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46532-2025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46284</v>
      </c>
      <c r="F318" t="inlineStr">
        <is>
          <t>VÄSTRA GÖTALANDS LÄN</t>
        </is>
      </c>
      <c r="G318" t="inlineStr">
        <is>
          <t>ULRICEHAMN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45926</v>
      </c>
      <c r="E319" s="1" t="n">
        <v>46284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46284</v>
      </c>
      <c r="F320" t="inlineStr">
        <is>
          <t>VÄSTRA GÖTALANDS LÄN</t>
        </is>
      </c>
      <c r="G320" t="inlineStr">
        <is>
          <t>ULRICEHAMN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64998-2021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44514</v>
      </c>
      <c r="E321" s="1" t="n">
        <v>46284</v>
      </c>
      <c r="F321" t="inlineStr">
        <is>
          <t>VÄSTRA GÖTALANDS LÄN</t>
        </is>
      </c>
      <c r="G321" t="inlineStr">
        <is>
          <t>ULRICEHAMN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46284</v>
      </c>
      <c r="F322" t="inlineStr">
        <is>
          <t>VÄSTRA GÖTALANDS LÄN</t>
        </is>
      </c>
      <c r="G322" t="inlineStr">
        <is>
          <t>ULRICEHAMN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46284</v>
      </c>
      <c r="F323" t="inlineStr">
        <is>
          <t>VÄSTRA GÖTALANDS LÄN</t>
        </is>
      </c>
      <c r="G323" t="inlineStr">
        <is>
          <t>ULRICEHAMN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46284</v>
      </c>
      <c r="F324" t="inlineStr">
        <is>
          <t>VÄSTRA GÖTALANDS LÄN</t>
        </is>
      </c>
      <c r="G324" t="inlineStr">
        <is>
          <t>ULRICEHAMN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46284</v>
      </c>
      <c r="F325" t="inlineStr">
        <is>
          <t>VÄSTRA GÖTALANDS LÄN</t>
        </is>
      </c>
      <c r="G325" t="inlineStr">
        <is>
          <t>ULRICEHAMN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45237</v>
      </c>
      <c r="E326" s="1" t="n">
        <v>46284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46284</v>
      </c>
      <c r="F327" t="inlineStr">
        <is>
          <t>VÄSTRA GÖTALANDS LÄN</t>
        </is>
      </c>
      <c r="G327" t="inlineStr">
        <is>
          <t>ULRICEHAMN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45087</v>
      </c>
      <c r="E328" s="1" t="n">
        <v>46284</v>
      </c>
      <c r="F328" t="inlineStr">
        <is>
          <t>VÄSTRA GÖTALANDS LÄN</t>
        </is>
      </c>
      <c r="G328" t="inlineStr">
        <is>
          <t>ULRICEHAMN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46284</v>
      </c>
      <c r="F329" t="inlineStr">
        <is>
          <t>VÄSTRA GÖTALANDS LÄN</t>
        </is>
      </c>
      <c r="G329" t="inlineStr">
        <is>
          <t>ULRICEHAMN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45578</v>
      </c>
      <c r="E330" s="1" t="n">
        <v>46284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45934</v>
      </c>
      <c r="E331" s="1" t="n">
        <v>46284</v>
      </c>
      <c r="F331" t="inlineStr">
        <is>
          <t>VÄSTRA GÖTALANDS LÄN</t>
        </is>
      </c>
      <c r="G331" t="inlineStr">
        <is>
          <t>ULRICEHAMN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45934</v>
      </c>
      <c r="E332" s="1" t="n">
        <v>46284</v>
      </c>
      <c r="F332" t="inlineStr">
        <is>
          <t>VÄSTRA GÖTALANDS LÄN</t>
        </is>
      </c>
      <c r="G332" t="inlineStr">
        <is>
          <t>ULRICEHAMN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45934</v>
      </c>
      <c r="E333" s="1" t="n">
        <v>46284</v>
      </c>
      <c r="F333" t="inlineStr">
        <is>
          <t>VÄSTRA GÖTALANDS LÄN</t>
        </is>
      </c>
      <c r="G333" t="inlineStr">
        <is>
          <t>ULRICEHAMN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45934</v>
      </c>
      <c r="E334" s="1" t="n">
        <v>46284</v>
      </c>
      <c r="F334" t="inlineStr">
        <is>
          <t>VÄSTRA GÖTALANDS LÄN</t>
        </is>
      </c>
      <c r="G334" t="inlineStr">
        <is>
          <t>ULRICEHAMN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45415</v>
      </c>
      <c r="E335" s="1" t="n">
        <v>46284</v>
      </c>
      <c r="F335" t="inlineStr">
        <is>
          <t>VÄSTRA GÖTALANDS LÄN</t>
        </is>
      </c>
      <c r="G335" t="inlineStr">
        <is>
          <t>ULRICEHAMN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45710</v>
      </c>
      <c r="E336" s="1" t="n">
        <v>46284</v>
      </c>
      <c r="F336" t="inlineStr">
        <is>
          <t>VÄSTRA GÖTALANDS LÄN</t>
        </is>
      </c>
      <c r="G336" t="inlineStr">
        <is>
          <t>ULRICEHAMN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45344</v>
      </c>
      <c r="E337" s="1" t="n">
        <v>46284</v>
      </c>
      <c r="F337" t="inlineStr">
        <is>
          <t>VÄSTRA GÖTALANDS LÄN</t>
        </is>
      </c>
      <c r="G337" t="inlineStr">
        <is>
          <t>ULRICEHAMN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44678</v>
      </c>
      <c r="E338" s="1" t="n">
        <v>46284</v>
      </c>
      <c r="F338" t="inlineStr">
        <is>
          <t>VÄSTRA GÖTALANDS LÄN</t>
        </is>
      </c>
      <c r="G338" t="inlineStr">
        <is>
          <t>ULRICEHAMN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46284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46284</v>
      </c>
      <c r="F340" t="inlineStr">
        <is>
          <t>VÄSTRA GÖTALANDS LÄN</t>
        </is>
      </c>
      <c r="G340" t="inlineStr">
        <is>
          <t>ULRICEHAMN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46284</v>
      </c>
      <c r="F341" t="inlineStr">
        <is>
          <t>VÄSTRA GÖTALANDS LÄN</t>
        </is>
      </c>
      <c r="G341" t="inlineStr">
        <is>
          <t>ULRICEHAMN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45474</v>
      </c>
      <c r="E342" s="1" t="n">
        <v>46284</v>
      </c>
      <c r="F342" t="inlineStr">
        <is>
          <t>VÄSTRA GÖTALANDS LÄN</t>
        </is>
      </c>
      <c r="G342" t="inlineStr">
        <is>
          <t>ULRICEHAMN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46284</v>
      </c>
      <c r="F343" t="inlineStr">
        <is>
          <t>VÄSTRA GÖTALANDS LÄN</t>
        </is>
      </c>
      <c r="G343" t="inlineStr">
        <is>
          <t>ULRICEHAMN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46284</v>
      </c>
      <c r="F344" t="inlineStr">
        <is>
          <t>VÄSTRA GÖTALANDS LÄN</t>
        </is>
      </c>
      <c r="G344" t="inlineStr">
        <is>
          <t>ULRICEHAMN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46284</v>
      </c>
      <c r="F345" t="inlineStr">
        <is>
          <t>VÄSTRA GÖTALANDS LÄN</t>
        </is>
      </c>
      <c r="G345" t="inlineStr">
        <is>
          <t>ULRICEHAMN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45086</v>
      </c>
      <c r="E346" s="1" t="n">
        <v>46284</v>
      </c>
      <c r="F346" t="inlineStr">
        <is>
          <t>VÄSTRA GÖTALANDS LÄN</t>
        </is>
      </c>
      <c r="G346" t="inlineStr">
        <is>
          <t>ULRICEHAMN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49466-2025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46284</v>
      </c>
      <c r="F347" t="inlineStr">
        <is>
          <t>VÄSTRA GÖTALANDS LÄN</t>
        </is>
      </c>
      <c r="G347" t="inlineStr">
        <is>
          <t>ULRICEHAMN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46284</v>
      </c>
      <c r="F348" t="inlineStr">
        <is>
          <t>VÄSTRA GÖTALANDS LÄN</t>
        </is>
      </c>
      <c r="G348" t="inlineStr">
        <is>
          <t>ULRICEHAMN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44944</v>
      </c>
      <c r="E349" s="1" t="n">
        <v>46284</v>
      </c>
      <c r="F349" t="inlineStr">
        <is>
          <t>VÄSTRA GÖTALANDS LÄN</t>
        </is>
      </c>
      <c r="G349" t="inlineStr">
        <is>
          <t>ULRICEHAMN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46284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Sveaskog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46284</v>
      </c>
      <c r="F351" t="inlineStr">
        <is>
          <t>VÄSTRA GÖTALANDS LÄN</t>
        </is>
      </c>
      <c r="G351" t="inlineStr">
        <is>
          <t>ULRICEHAMN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45153</v>
      </c>
      <c r="E352" s="1" t="n">
        <v>46284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45947</v>
      </c>
      <c r="E353" s="1" t="n">
        <v>46284</v>
      </c>
      <c r="F353" t="inlineStr">
        <is>
          <t>VÄSTRA GÖTALANDS LÄN</t>
        </is>
      </c>
      <c r="G353" t="inlineStr">
        <is>
          <t>ULRICEHAMN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45605</v>
      </c>
      <c r="E354" s="1" t="n">
        <v>46284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45237</v>
      </c>
      <c r="E355" s="1" t="n">
        <v>46284</v>
      </c>
      <c r="F355" t="inlineStr">
        <is>
          <t>VÄSTRA GÖTALANDS LÄN</t>
        </is>
      </c>
      <c r="G355" t="inlineStr">
        <is>
          <t>ULRICEHAMN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45006</v>
      </c>
      <c r="E356" s="1" t="n">
        <v>46284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Kommuner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45951</v>
      </c>
      <c r="E357" s="1" t="n">
        <v>46284</v>
      </c>
      <c r="F357" t="inlineStr">
        <is>
          <t>VÄSTRA GÖTALANDS LÄN</t>
        </is>
      </c>
      <c r="G357" t="inlineStr">
        <is>
          <t>ULRICEHAMN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45951</v>
      </c>
      <c r="E358" s="1" t="n">
        <v>46284</v>
      </c>
      <c r="F358" t="inlineStr">
        <is>
          <t>VÄSTRA GÖTALANDS LÄN</t>
        </is>
      </c>
      <c r="G358" t="inlineStr">
        <is>
          <t>ULRICEHAMN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44971</v>
      </c>
      <c r="E359" s="1" t="n">
        <v>46284</v>
      </c>
      <c r="F359" t="inlineStr">
        <is>
          <t>VÄSTRA GÖTALANDS LÄN</t>
        </is>
      </c>
      <c r="G359" t="inlineStr">
        <is>
          <t>ULRICEHAMN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46284</v>
      </c>
      <c r="F360" t="inlineStr">
        <is>
          <t>VÄSTRA GÖTALANDS LÄN</t>
        </is>
      </c>
      <c r="G360" t="inlineStr">
        <is>
          <t>ULRICEHAMN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44781</v>
      </c>
      <c r="E361" s="1" t="n">
        <v>46284</v>
      </c>
      <c r="F361" t="inlineStr">
        <is>
          <t>VÄSTRA GÖTALANDS LÄN</t>
        </is>
      </c>
      <c r="G361" t="inlineStr">
        <is>
          <t>ULRICEHAMN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46284</v>
      </c>
      <c r="F362" t="inlineStr">
        <is>
          <t>VÄSTRA GÖTALANDS LÄN</t>
        </is>
      </c>
      <c r="G362" t="inlineStr">
        <is>
          <t>ULRICEHAMN</t>
        </is>
      </c>
      <c r="H362" t="inlineStr">
        <is>
          <t>Sveaskog</t>
        </is>
      </c>
      <c r="I362" t="n">
        <v>20.3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45626</v>
      </c>
      <c r="E363" s="1" t="n">
        <v>46284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45626</v>
      </c>
      <c r="E364" s="1" t="n">
        <v>46284</v>
      </c>
      <c r="F364" t="inlineStr">
        <is>
          <t>VÄSTRA GÖTALANDS LÄN</t>
        </is>
      </c>
      <c r="G364" t="inlineStr">
        <is>
          <t>ULRICEHAMN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45666</v>
      </c>
      <c r="E365" s="1" t="n">
        <v>46284</v>
      </c>
      <c r="F365" t="inlineStr">
        <is>
          <t>VÄSTRA GÖTALANDS LÄN</t>
        </is>
      </c>
      <c r="G365" t="inlineStr">
        <is>
          <t>ULRICEHAMN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54904-2023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46284</v>
      </c>
      <c r="F366" t="inlineStr">
        <is>
          <t>VÄSTRA GÖTALANDS LÄN</t>
        </is>
      </c>
      <c r="G366" t="inlineStr">
        <is>
          <t>ULRICEHAMN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54912-2023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46284</v>
      </c>
      <c r="F367" t="inlineStr">
        <is>
          <t>VÄSTRA GÖTALANDS LÄN</t>
        </is>
      </c>
      <c r="G367" t="inlineStr">
        <is>
          <t>ULRICEHAMN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45194</v>
      </c>
      <c r="E368" s="1" t="n">
        <v>46284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46284</v>
      </c>
      <c r="F369" t="inlineStr">
        <is>
          <t>VÄSTRA GÖTALANDS LÄN</t>
        </is>
      </c>
      <c r="G369" t="inlineStr">
        <is>
          <t>ULRICEHAMN</t>
        </is>
      </c>
      <c r="I369" t="n">
        <v>17.6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46284</v>
      </c>
      <c r="F370" t="inlineStr">
        <is>
          <t>VÄSTRA GÖTALANDS LÄN</t>
        </is>
      </c>
      <c r="G370" t="inlineStr">
        <is>
          <t>ULRICEHAMN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46284</v>
      </c>
      <c r="F371" t="inlineStr">
        <is>
          <t>VÄSTRA GÖTALANDS LÄN</t>
        </is>
      </c>
      <c r="G371" t="inlineStr">
        <is>
          <t>ULRICEHAMN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46284</v>
      </c>
      <c r="F372" t="inlineStr">
        <is>
          <t>VÄSTRA GÖTALANDS LÄN</t>
        </is>
      </c>
      <c r="G372" t="inlineStr">
        <is>
          <t>ULRICEHAMN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46284</v>
      </c>
      <c r="F373" t="inlineStr">
        <is>
          <t>VÄSTRA GÖTALANDS LÄN</t>
        </is>
      </c>
      <c r="G373" t="inlineStr">
        <is>
          <t>ULRICEHAMN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46284</v>
      </c>
      <c r="F374" t="inlineStr">
        <is>
          <t>VÄSTRA GÖTALANDS LÄN</t>
        </is>
      </c>
      <c r="G374" t="inlineStr">
        <is>
          <t>ULRICEHAMN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46284</v>
      </c>
      <c r="F375" t="inlineStr">
        <is>
          <t>VÄSTRA GÖTALANDS LÄN</t>
        </is>
      </c>
      <c r="G375" t="inlineStr">
        <is>
          <t>ULRICEHAMN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46284</v>
      </c>
      <c r="F376" t="inlineStr">
        <is>
          <t>VÄSTRA GÖTALANDS LÄN</t>
        </is>
      </c>
      <c r="G376" t="inlineStr">
        <is>
          <t>ULRICEHAMN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46284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37358-2022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44809</v>
      </c>
      <c r="E378" s="1" t="n">
        <v>46284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46284</v>
      </c>
      <c r="F379" t="inlineStr">
        <is>
          <t>VÄSTRA GÖTALANDS LÄN</t>
        </is>
      </c>
      <c r="G379" t="inlineStr">
        <is>
          <t>ULRICEHAMN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45281</v>
      </c>
      <c r="E380" s="1" t="n">
        <v>46284</v>
      </c>
      <c r="F380" t="inlineStr">
        <is>
          <t>VÄSTRA GÖTALANDS LÄN</t>
        </is>
      </c>
      <c r="G380" t="inlineStr">
        <is>
          <t>ULRICEHAMN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44463-2023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45189</v>
      </c>
      <c r="E381" s="1" t="n">
        <v>46284</v>
      </c>
      <c r="F381" t="inlineStr">
        <is>
          <t>VÄSTRA GÖTALANDS LÄN</t>
        </is>
      </c>
      <c r="G381" t="inlineStr">
        <is>
          <t>ULRICEHAMN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54837-2025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46284</v>
      </c>
      <c r="F382" t="inlineStr">
        <is>
          <t>VÄSTRA GÖTALANDS LÄN</t>
        </is>
      </c>
      <c r="G382" t="inlineStr">
        <is>
          <t>ULRICEHAMN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27494-2023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46284</v>
      </c>
      <c r="F383" t="inlineStr">
        <is>
          <t>VÄSTRA GÖTALANDS LÄN</t>
        </is>
      </c>
      <c r="G383" t="inlineStr">
        <is>
          <t>ULRICEHAMN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46284</v>
      </c>
      <c r="F384" t="inlineStr">
        <is>
          <t>VÄSTRA GÖTALANDS LÄN</t>
        </is>
      </c>
      <c r="G384" t="inlineStr">
        <is>
          <t>ULRICEHAMN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44638</v>
      </c>
      <c r="E385" s="1" t="n">
        <v>46284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46284</v>
      </c>
      <c r="F386" t="inlineStr">
        <is>
          <t>VÄSTRA GÖTALANDS LÄN</t>
        </is>
      </c>
      <c r="G386" t="inlineStr">
        <is>
          <t>ULRICEHAMN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46284</v>
      </c>
      <c r="F387" t="inlineStr">
        <is>
          <t>VÄSTRA GÖTALANDS LÄN</t>
        </is>
      </c>
      <c r="G387" t="inlineStr">
        <is>
          <t>ULRICEHAMN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55270-2025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45968</v>
      </c>
      <c r="E388" s="1" t="n">
        <v>46284</v>
      </c>
      <c r="F388" t="inlineStr">
        <is>
          <t>VÄSTRA GÖTALANDS LÄN</t>
        </is>
      </c>
      <c r="G388" t="inlineStr">
        <is>
          <t>ULRICEHAMN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45395</v>
      </c>
      <c r="E389" s="1" t="n">
        <v>46284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46284</v>
      </c>
      <c r="F390" t="inlineStr">
        <is>
          <t>VÄSTRA GÖTALANDS LÄN</t>
        </is>
      </c>
      <c r="G390" t="inlineStr">
        <is>
          <t>ULRICEHAMN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45560</v>
      </c>
      <c r="E391" s="1" t="n">
        <v>46284</v>
      </c>
      <c r="F391" t="inlineStr">
        <is>
          <t>VÄSTRA GÖTALANDS LÄN</t>
        </is>
      </c>
      <c r="G391" t="inlineStr">
        <is>
          <t>ULRICEHAMN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56319-2025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46284</v>
      </c>
      <c r="F392" t="inlineStr">
        <is>
          <t>VÄSTRA GÖTALANDS LÄN</t>
        </is>
      </c>
      <c r="G392" t="inlineStr">
        <is>
          <t>ULRICEHAMN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46284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46284</v>
      </c>
      <c r="F394" t="inlineStr">
        <is>
          <t>VÄSTRA GÖTALANDS LÄN</t>
        </is>
      </c>
      <c r="G394" t="inlineStr">
        <is>
          <t>ULRICEHAMN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56360-2025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46284</v>
      </c>
      <c r="F395" t="inlineStr">
        <is>
          <t>VÄSTRA GÖTALANDS LÄN</t>
        </is>
      </c>
      <c r="G395" t="inlineStr">
        <is>
          <t>ULRICEHAMN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46284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46284</v>
      </c>
      <c r="F397" t="inlineStr">
        <is>
          <t>VÄSTRA GÖTALANDS LÄN</t>
        </is>
      </c>
      <c r="G397" t="inlineStr">
        <is>
          <t>ULRICEHAMN</t>
        </is>
      </c>
      <c r="I397" t="n">
        <v>12.5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46284</v>
      </c>
      <c r="F398" t="inlineStr">
        <is>
          <t>VÄSTRA GÖTALANDS LÄN</t>
        </is>
      </c>
      <c r="G398" t="inlineStr">
        <is>
          <t>ULRICEHAMN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34767-2023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46284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46284</v>
      </c>
      <c r="F400" t="inlineStr">
        <is>
          <t>VÄSTRA GÖTALANDS LÄN</t>
        </is>
      </c>
      <c r="G400" t="inlineStr">
        <is>
          <t>ULRICEHAMN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51200-2024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46284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Kommuner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45626</v>
      </c>
      <c r="E402" s="1" t="n">
        <v>46284</v>
      </c>
      <c r="F402" t="inlineStr">
        <is>
          <t>VÄSTRA GÖTALANDS LÄN</t>
        </is>
      </c>
      <c r="G402" t="inlineStr">
        <is>
          <t>ULRICEHAMN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45961</v>
      </c>
      <c r="E403" s="1" t="n">
        <v>46284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46284</v>
      </c>
      <c r="F404" t="inlineStr">
        <is>
          <t>VÄSTRA GÖTALANDS LÄN</t>
        </is>
      </c>
      <c r="G404" t="inlineStr">
        <is>
          <t>ULRICEHAMN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46284</v>
      </c>
      <c r="F405" t="inlineStr">
        <is>
          <t>VÄSTRA GÖTALANDS LÄN</t>
        </is>
      </c>
      <c r="G405" t="inlineStr">
        <is>
          <t>ULRICEHAMN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46284</v>
      </c>
      <c r="F406" t="inlineStr">
        <is>
          <t>VÄSTRA GÖTALANDS LÄN</t>
        </is>
      </c>
      <c r="G406" t="inlineStr">
        <is>
          <t>ULRICEHAMN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46284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10714-2022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44626</v>
      </c>
      <c r="E408" s="1" t="n">
        <v>46284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46284</v>
      </c>
      <c r="F409" t="inlineStr">
        <is>
          <t>VÄSTRA GÖTALANDS LÄN</t>
        </is>
      </c>
      <c r="G409" t="inlineStr">
        <is>
          <t>ULRICEHAMN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14919-2024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45398</v>
      </c>
      <c r="E410" s="1" t="n">
        <v>46284</v>
      </c>
      <c r="F410" t="inlineStr">
        <is>
          <t>VÄSTRA GÖTALANDS LÄN</t>
        </is>
      </c>
      <c r="G410" t="inlineStr">
        <is>
          <t>ULRICEHAMN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44971</v>
      </c>
      <c r="E411" s="1" t="n">
        <v>46284</v>
      </c>
      <c r="F411" t="inlineStr">
        <is>
          <t>VÄSTRA GÖTALANDS LÄN</t>
        </is>
      </c>
      <c r="G411" t="inlineStr">
        <is>
          <t>ULRICEHAMN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65400-2021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46284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46837-2023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45199</v>
      </c>
      <c r="E413" s="1" t="n">
        <v>46284</v>
      </c>
      <c r="F413" t="inlineStr">
        <is>
          <t>VÄSTRA GÖTALANDS LÄN</t>
        </is>
      </c>
      <c r="G413" t="inlineStr">
        <is>
          <t>ULRICEHAMN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22480-2023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45071</v>
      </c>
      <c r="E414" s="1" t="n">
        <v>46284</v>
      </c>
      <c r="F414" t="inlineStr">
        <is>
          <t>VÄSTRA GÖTALANDS LÄN</t>
        </is>
      </c>
      <c r="G414" t="inlineStr">
        <is>
          <t>ULRICEHAMN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18919-2024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45427</v>
      </c>
      <c r="E415" s="1" t="n">
        <v>46284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46284</v>
      </c>
      <c r="F416" t="inlineStr">
        <is>
          <t>VÄSTRA GÖTALANDS LÄN</t>
        </is>
      </c>
      <c r="G416" t="inlineStr">
        <is>
          <t>ULRICEHAMN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46284</v>
      </c>
      <c r="F417" t="inlineStr">
        <is>
          <t>VÄSTRA GÖTALANDS LÄN</t>
        </is>
      </c>
      <c r="G417" t="inlineStr">
        <is>
          <t>ULRICEHAMN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46284</v>
      </c>
      <c r="F418" t="inlineStr">
        <is>
          <t>VÄSTRA GÖTALANDS LÄN</t>
        </is>
      </c>
      <c r="G418" t="inlineStr">
        <is>
          <t>ULRICEHAMN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46284</v>
      </c>
      <c r="F419" t="inlineStr">
        <is>
          <t>VÄSTRA GÖTALANDS LÄN</t>
        </is>
      </c>
      <c r="G419" t="inlineStr">
        <is>
          <t>ULRICEHAMN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46284</v>
      </c>
      <c r="F420" t="inlineStr">
        <is>
          <t>VÄSTRA GÖTALANDS LÄN</t>
        </is>
      </c>
      <c r="G420" t="inlineStr">
        <is>
          <t>ULRICEHAMN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46284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44830</v>
      </c>
      <c r="E422" s="1" t="n">
        <v>46284</v>
      </c>
      <c r="F422" t="inlineStr">
        <is>
          <t>VÄSTRA GÖTALANDS LÄN</t>
        </is>
      </c>
      <c r="G422" t="inlineStr">
        <is>
          <t>ULRICEHAMN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46284</v>
      </c>
      <c r="F423" t="inlineStr">
        <is>
          <t>VÄSTRA GÖTALANDS LÄN</t>
        </is>
      </c>
      <c r="G423" t="inlineStr">
        <is>
          <t>ULRICEHAMN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45994</v>
      </c>
      <c r="E424" s="1" t="n">
        <v>46284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60704-2025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45996</v>
      </c>
      <c r="E425" s="1" t="n">
        <v>46284</v>
      </c>
      <c r="F425" t="inlineStr">
        <is>
          <t>VÄSTRA GÖTALANDS LÄN</t>
        </is>
      </c>
      <c r="G425" t="inlineStr">
        <is>
          <t>ULRICEHAMN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46284</v>
      </c>
      <c r="F426" t="inlineStr">
        <is>
          <t>VÄSTRA GÖTALANDS LÄN</t>
        </is>
      </c>
      <c r="G426" t="inlineStr">
        <is>
          <t>ULRICEHAMN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46284</v>
      </c>
      <c r="F427" t="inlineStr">
        <is>
          <t>VÄSTRA GÖTALANDS LÄN</t>
        </is>
      </c>
      <c r="G427" t="inlineStr">
        <is>
          <t>ULRICEHAMN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46284</v>
      </c>
      <c r="F428" t="inlineStr">
        <is>
          <t>VÄSTRA GÖTALANDS LÄN</t>
        </is>
      </c>
      <c r="G428" t="inlineStr">
        <is>
          <t>ULRICEHAMN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46001</v>
      </c>
      <c r="E429" s="1" t="n">
        <v>46284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45356</v>
      </c>
      <c r="E430" s="1" t="n">
        <v>46284</v>
      </c>
      <c r="F430" t="inlineStr">
        <is>
          <t>VÄSTRA GÖTALANDS LÄN</t>
        </is>
      </c>
      <c r="G430" t="inlineStr">
        <is>
          <t>ULRICEHAMN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45601</v>
      </c>
      <c r="E431" s="1" t="n">
        <v>46284</v>
      </c>
      <c r="F431" t="inlineStr">
        <is>
          <t>VÄSTRA GÖTALANDS LÄN</t>
        </is>
      </c>
      <c r="G431" t="inlineStr">
        <is>
          <t>ULRICEHAMN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45280</v>
      </c>
      <c r="E432" s="1" t="n">
        <v>46284</v>
      </c>
      <c r="F432" t="inlineStr">
        <is>
          <t>VÄSTRA GÖTALANDS LÄN</t>
        </is>
      </c>
      <c r="G432" t="inlineStr">
        <is>
          <t>ULRICEHAMN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45498</v>
      </c>
      <c r="E433" s="1" t="n">
        <v>46284</v>
      </c>
      <c r="F433" t="inlineStr">
        <is>
          <t>VÄSTRA GÖTALANDS LÄN</t>
        </is>
      </c>
      <c r="G433" t="inlineStr">
        <is>
          <t>ULRICEHAMN</t>
        </is>
      </c>
      <c r="H433" t="inlineStr">
        <is>
          <t>Kyrkan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46493-2023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45197</v>
      </c>
      <c r="E434" s="1" t="n">
        <v>46284</v>
      </c>
      <c r="F434" t="inlineStr">
        <is>
          <t>VÄSTRA GÖTALANDS LÄN</t>
        </is>
      </c>
      <c r="G434" t="inlineStr">
        <is>
          <t>ULRICEHAMN</t>
        </is>
      </c>
      <c r="H434" t="inlineStr">
        <is>
          <t>Sveaskog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46284</v>
      </c>
      <c r="F435" t="inlineStr">
        <is>
          <t>VÄSTRA GÖTALANDS LÄN</t>
        </is>
      </c>
      <c r="G435" t="inlineStr">
        <is>
          <t>ULRICEHAMN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46284</v>
      </c>
      <c r="F436" t="inlineStr">
        <is>
          <t>VÄSTRA GÖTALANDS LÄN</t>
        </is>
      </c>
      <c r="G436" t="inlineStr">
        <is>
          <t>ULRICEHAMN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45357</v>
      </c>
      <c r="E437" s="1" t="n">
        <v>46284</v>
      </c>
      <c r="F437" t="inlineStr">
        <is>
          <t>VÄSTRA GÖTALANDS LÄN</t>
        </is>
      </c>
      <c r="G437" t="inlineStr">
        <is>
          <t>ULRICEHAMN</t>
        </is>
      </c>
      <c r="H437" t="inlineStr">
        <is>
          <t>Sveaskog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45009</v>
      </c>
      <c r="E438" s="1" t="n">
        <v>46284</v>
      </c>
      <c r="F438" t="inlineStr">
        <is>
          <t>VÄSTRA GÖTALANDS LÄN</t>
        </is>
      </c>
      <c r="G438" t="inlineStr">
        <is>
          <t>ULRICEHAMN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46284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38697-2023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46284</v>
      </c>
      <c r="F440" t="inlineStr">
        <is>
          <t>VÄSTRA GÖTALANDS LÄN</t>
        </is>
      </c>
      <c r="G440" t="inlineStr">
        <is>
          <t>ULRICEHAMN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69114-2021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46284</v>
      </c>
      <c r="F441" t="inlineStr">
        <is>
          <t>VÄSTRA GÖTALANDS LÄN</t>
        </is>
      </c>
      <c r="G441" t="inlineStr">
        <is>
          <t>ULRICEHAMN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46284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46284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45698</v>
      </c>
      <c r="E444" s="1" t="n">
        <v>46284</v>
      </c>
      <c r="F444" t="inlineStr">
        <is>
          <t>VÄSTRA GÖTALANDS LÄN</t>
        </is>
      </c>
      <c r="G444" t="inlineStr">
        <is>
          <t>ULRICEHAMN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9581-2025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45715</v>
      </c>
      <c r="E445" s="1" t="n">
        <v>46284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46284</v>
      </c>
      <c r="F446" t="inlineStr">
        <is>
          <t>VÄSTRA GÖTALANDS LÄN</t>
        </is>
      </c>
      <c r="G446" t="inlineStr">
        <is>
          <t>ULRICEHAMN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4759-2025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45688</v>
      </c>
      <c r="E447" s="1" t="n">
        <v>46284</v>
      </c>
      <c r="F447" t="inlineStr">
        <is>
          <t>VÄSTRA GÖTALANDS LÄN</t>
        </is>
      </c>
      <c r="G447" t="inlineStr">
        <is>
          <t>ULRICEHAMN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46284</v>
      </c>
      <c r="F448" t="inlineStr">
        <is>
          <t>VÄSTRA GÖTALANDS LÄN</t>
        </is>
      </c>
      <c r="G448" t="inlineStr">
        <is>
          <t>ULRICEHAMN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46284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45701</v>
      </c>
      <c r="E450" s="1" t="n">
        <v>46284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Kyrkan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45471</v>
      </c>
      <c r="E451" s="1" t="n">
        <v>46284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46284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46284</v>
      </c>
      <c r="F453" t="inlineStr">
        <is>
          <t>VÄSTRA GÖTALANDS LÄN</t>
        </is>
      </c>
      <c r="G453" t="inlineStr">
        <is>
          <t>ULRICEHAMN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46284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46310-2022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44847</v>
      </c>
      <c r="E455" s="1" t="n">
        <v>46284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46284</v>
      </c>
      <c r="F456" t="inlineStr">
        <is>
          <t>VÄSTRA GÖTALANDS LÄN</t>
        </is>
      </c>
      <c r="G456" t="inlineStr">
        <is>
          <t>ULRICEHAMN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46284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45601</v>
      </c>
      <c r="E458" s="1" t="n">
        <v>46284</v>
      </c>
      <c r="F458" t="inlineStr">
        <is>
          <t>VÄSTRA GÖTALANDS LÄN</t>
        </is>
      </c>
      <c r="G458" t="inlineStr">
        <is>
          <t>ULRICEHAMN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46284</v>
      </c>
      <c r="F459" t="inlineStr">
        <is>
          <t>VÄSTRA GÖTALANDS LÄN</t>
        </is>
      </c>
      <c r="G459" t="inlineStr">
        <is>
          <t>ULRICEHAMN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18296-2022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44685</v>
      </c>
      <c r="E460" s="1" t="n">
        <v>46284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46284</v>
      </c>
      <c r="F461" t="inlineStr">
        <is>
          <t>VÄSTRA GÖTALANDS LÄN</t>
        </is>
      </c>
      <c r="G461" t="inlineStr">
        <is>
          <t>ULRICEHAMN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45093</v>
      </c>
      <c r="E462" s="1" t="n">
        <v>46284</v>
      </c>
      <c r="F462" t="inlineStr">
        <is>
          <t>VÄSTRA GÖTALANDS LÄN</t>
        </is>
      </c>
      <c r="G462" t="inlineStr">
        <is>
          <t>ULRICEHAMN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46284</v>
      </c>
      <c r="F463" t="inlineStr">
        <is>
          <t>VÄSTRA GÖTALANDS LÄN</t>
        </is>
      </c>
      <c r="G463" t="inlineStr">
        <is>
          <t>ULRICEHAMN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3440-2024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45320</v>
      </c>
      <c r="E464" s="1" t="n">
        <v>46284</v>
      </c>
      <c r="F464" t="inlineStr">
        <is>
          <t>VÄSTRA GÖTALANDS LÄN</t>
        </is>
      </c>
      <c r="G464" t="inlineStr">
        <is>
          <t>ULRICEHAMN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46284</v>
      </c>
      <c r="F465" t="inlineStr">
        <is>
          <t>VÄSTRA GÖTALANDS LÄN</t>
        </is>
      </c>
      <c r="G465" t="inlineStr">
        <is>
          <t>ULRICEHAMN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46125</v>
      </c>
      <c r="E466" s="1" t="n">
        <v>46284</v>
      </c>
      <c r="F466" t="inlineStr">
        <is>
          <t>VÄSTRA GÖTALANDS LÄN</t>
        </is>
      </c>
      <c r="G466" t="inlineStr">
        <is>
          <t>ULRICEHAMN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31212-2022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44771</v>
      </c>
      <c r="E467" s="1" t="n">
        <v>46284</v>
      </c>
      <c r="F467" t="inlineStr">
        <is>
          <t>VÄSTRA GÖTALANDS LÄN</t>
        </is>
      </c>
      <c r="G467" t="inlineStr">
        <is>
          <t>ULRICEHAMN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46284</v>
      </c>
      <c r="F468" t="inlineStr">
        <is>
          <t>VÄSTRA GÖTALANDS LÄN</t>
        </is>
      </c>
      <c r="G468" t="inlineStr">
        <is>
          <t>ULRICEHAMN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39343-2022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44817</v>
      </c>
      <c r="E469" s="1" t="n">
        <v>46284</v>
      </c>
      <c r="F469" t="inlineStr">
        <is>
          <t>VÄSTRA GÖTALANDS LÄN</t>
        </is>
      </c>
      <c r="G469" t="inlineStr">
        <is>
          <t>ULRICEHAMN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46284</v>
      </c>
      <c r="F470" t="inlineStr">
        <is>
          <t>VÄSTRA GÖTALANDS LÄN</t>
        </is>
      </c>
      <c r="G470" t="inlineStr">
        <is>
          <t>ULRICEHAMN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22427-2023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45070</v>
      </c>
      <c r="E471" s="1" t="n">
        <v>46284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45671</v>
      </c>
      <c r="E472" s="1" t="n">
        <v>46284</v>
      </c>
      <c r="F472" t="inlineStr">
        <is>
          <t>VÄSTRA GÖTALANDS LÄN</t>
        </is>
      </c>
      <c r="G472" t="inlineStr">
        <is>
          <t>ULRICEHAMN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19864-2025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45771</v>
      </c>
      <c r="E473" s="1" t="n">
        <v>46284</v>
      </c>
      <c r="F473" t="inlineStr">
        <is>
          <t>VÄSTRA GÖTALANDS LÄN</t>
        </is>
      </c>
      <c r="G473" t="inlineStr">
        <is>
          <t>ULRICEHAMN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46284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45484</v>
      </c>
      <c r="E475" s="1" t="n">
        <v>46284</v>
      </c>
      <c r="F475" t="inlineStr">
        <is>
          <t>VÄSTRA GÖTALANDS LÄN</t>
        </is>
      </c>
      <c r="G475" t="inlineStr">
        <is>
          <t>ULRICEHAMN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46284</v>
      </c>
      <c r="F476" t="inlineStr">
        <is>
          <t>VÄSTRA GÖTALANDS LÄN</t>
        </is>
      </c>
      <c r="G476" t="inlineStr">
        <is>
          <t>ULRICEHAMN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46284</v>
      </c>
      <c r="F477" t="inlineStr">
        <is>
          <t>VÄSTRA GÖTALANDS LÄN</t>
        </is>
      </c>
      <c r="G477" t="inlineStr">
        <is>
          <t>ULRICEHAMN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45625</v>
      </c>
      <c r="E478" s="1" t="n">
        <v>46284</v>
      </c>
      <c r="F478" t="inlineStr">
        <is>
          <t>VÄSTRA GÖTALANDS LÄN</t>
        </is>
      </c>
      <c r="G478" t="inlineStr">
        <is>
          <t>ULRICEHAMN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46284</v>
      </c>
      <c r="F479" t="inlineStr">
        <is>
          <t>VÄSTRA GÖTALANDS LÄN</t>
        </is>
      </c>
      <c r="G479" t="inlineStr">
        <is>
          <t>ULRICEHAMN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46284</v>
      </c>
      <c r="F480" t="inlineStr">
        <is>
          <t>VÄSTRA GÖTALANDS LÄN</t>
        </is>
      </c>
      <c r="G480" t="inlineStr">
        <is>
          <t>ULRICEHAMN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45140</v>
      </c>
      <c r="E481" s="1" t="n">
        <v>46284</v>
      </c>
      <c r="F481" t="inlineStr">
        <is>
          <t>VÄSTRA GÖTALANDS LÄN</t>
        </is>
      </c>
      <c r="G481" t="inlineStr">
        <is>
          <t>ULRICEHAMN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46284</v>
      </c>
      <c r="F482" t="inlineStr">
        <is>
          <t>VÄSTRA GÖTALANDS LÄN</t>
        </is>
      </c>
      <c r="G482" t="inlineStr">
        <is>
          <t>ULRICEHAMN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46284</v>
      </c>
      <c r="F483" t="inlineStr">
        <is>
          <t>VÄSTRA GÖTALANDS LÄN</t>
        </is>
      </c>
      <c r="G483" t="inlineStr">
        <is>
          <t>ULRICEHAMN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45166</v>
      </c>
      <c r="E484" s="1" t="n">
        <v>46284</v>
      </c>
      <c r="F484" t="inlineStr">
        <is>
          <t>VÄSTRA GÖTALANDS LÄN</t>
        </is>
      </c>
      <c r="G484" t="inlineStr">
        <is>
          <t>ULRICEHAMN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46284</v>
      </c>
      <c r="F485" t="inlineStr">
        <is>
          <t>VÄSTRA GÖTALANDS LÄN</t>
        </is>
      </c>
      <c r="G485" t="inlineStr">
        <is>
          <t>ULRICEHAMN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46284</v>
      </c>
      <c r="F486" t="inlineStr">
        <is>
          <t>VÄSTRA GÖTALANDS LÄN</t>
        </is>
      </c>
      <c r="G486" t="inlineStr">
        <is>
          <t>ULRICEHAMN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46284</v>
      </c>
      <c r="F487" t="inlineStr">
        <is>
          <t>VÄSTRA GÖTALANDS LÄN</t>
        </is>
      </c>
      <c r="G487" t="inlineStr">
        <is>
          <t>ULRICEHAMN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52481-2021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44466</v>
      </c>
      <c r="E488" s="1" t="n">
        <v>46284</v>
      </c>
      <c r="F488" t="inlineStr">
        <is>
          <t>VÄSTRA GÖTALANDS LÄN</t>
        </is>
      </c>
      <c r="G488" t="inlineStr">
        <is>
          <t>ULRICEHAMN</t>
        </is>
      </c>
      <c r="I488" t="n">
        <v>11.9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44959</v>
      </c>
      <c r="E489" s="1" t="n">
        <v>46284</v>
      </c>
      <c r="F489" t="inlineStr">
        <is>
          <t>VÄSTRA GÖTALANDS LÄN</t>
        </is>
      </c>
      <c r="G489" t="inlineStr">
        <is>
          <t>ULRICEHAMN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44959</v>
      </c>
      <c r="E490" s="1" t="n">
        <v>46284</v>
      </c>
      <c r="F490" t="inlineStr">
        <is>
          <t>VÄSTRA GÖTALANDS LÄN</t>
        </is>
      </c>
      <c r="G490" t="inlineStr">
        <is>
          <t>ULRICEHAMN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46284</v>
      </c>
      <c r="F491" t="inlineStr">
        <is>
          <t>VÄSTRA GÖTALANDS LÄN</t>
        </is>
      </c>
      <c r="G491" t="inlineStr">
        <is>
          <t>ULRICEHAMN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46284</v>
      </c>
      <c r="F492" t="inlineStr">
        <is>
          <t>VÄSTRA GÖTALANDS LÄN</t>
        </is>
      </c>
      <c r="G492" t="inlineStr">
        <is>
          <t>ULRICEHAMN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44882</v>
      </c>
      <c r="E493" s="1" t="n">
        <v>46284</v>
      </c>
      <c r="F493" t="inlineStr">
        <is>
          <t>VÄSTRA GÖTALANDS LÄN</t>
        </is>
      </c>
      <c r="G493" t="inlineStr">
        <is>
          <t>ULRICEHAMN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46284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Sveaskog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46284</v>
      </c>
      <c r="F495" t="inlineStr">
        <is>
          <t>VÄSTRA GÖTALANDS LÄN</t>
        </is>
      </c>
      <c r="G495" t="inlineStr">
        <is>
          <t>ULRICEHAMN</t>
        </is>
      </c>
      <c r="H495" t="inlineStr">
        <is>
          <t>Sveaskog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22942-2023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45072</v>
      </c>
      <c r="E496" s="1" t="n">
        <v>46284</v>
      </c>
      <c r="F496" t="inlineStr">
        <is>
          <t>VÄSTRA GÖTALANDS LÄN</t>
        </is>
      </c>
      <c r="G496" t="inlineStr">
        <is>
          <t>ULRICEHAMN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45647-2022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44845</v>
      </c>
      <c r="E497" s="1" t="n">
        <v>46284</v>
      </c>
      <c r="F497" t="inlineStr">
        <is>
          <t>VÄSTRA GÖTALANDS LÄN</t>
        </is>
      </c>
      <c r="G497" t="inlineStr">
        <is>
          <t>ULRICEHAMN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6438-2024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45338</v>
      </c>
      <c r="E498" s="1" t="n">
        <v>46284</v>
      </c>
      <c r="F498" t="inlineStr">
        <is>
          <t>VÄSTRA GÖTALANDS LÄN</t>
        </is>
      </c>
      <c r="G498" t="inlineStr">
        <is>
          <t>ULRICEHAMN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46284</v>
      </c>
      <c r="F499" t="inlineStr">
        <is>
          <t>VÄSTRA GÖTALANDS LÄN</t>
        </is>
      </c>
      <c r="G499" t="inlineStr">
        <is>
          <t>ULRICEHAMN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46284</v>
      </c>
      <c r="F500" t="inlineStr">
        <is>
          <t>VÄSTRA GÖTALANDS LÄN</t>
        </is>
      </c>
      <c r="G500" t="inlineStr">
        <is>
          <t>ULRICEHAMN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46284</v>
      </c>
      <c r="F501" t="inlineStr">
        <is>
          <t>VÄSTRA GÖTALANDS LÄN</t>
        </is>
      </c>
      <c r="G501" t="inlineStr">
        <is>
          <t>ULRICEHAMN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14599-2024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45395</v>
      </c>
      <c r="E502" s="1" t="n">
        <v>46284</v>
      </c>
      <c r="F502" t="inlineStr">
        <is>
          <t>VÄSTRA GÖTALANDS LÄN</t>
        </is>
      </c>
      <c r="G502" t="inlineStr">
        <is>
          <t>ULRICEHAMN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10431-2026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46077</v>
      </c>
      <c r="E503" s="1" t="n">
        <v>46284</v>
      </c>
      <c r="F503" t="inlineStr">
        <is>
          <t>VÄSTRA GÖTALANDS LÄN</t>
        </is>
      </c>
      <c r="G503" t="inlineStr">
        <is>
          <t>ULRICEHAMN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45676</v>
      </c>
      <c r="E504" s="1" t="n">
        <v>46284</v>
      </c>
      <c r="F504" t="inlineStr">
        <is>
          <t>VÄSTRA GÖTALANDS LÄN</t>
        </is>
      </c>
      <c r="G504" t="inlineStr">
        <is>
          <t>ULRICEHAMN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46284</v>
      </c>
      <c r="F505" t="inlineStr">
        <is>
          <t>VÄSTRA GÖTALANDS LÄN</t>
        </is>
      </c>
      <c r="G505" t="inlineStr">
        <is>
          <t>ULRICEHAMN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46284</v>
      </c>
      <c r="F506" t="inlineStr">
        <is>
          <t>VÄSTRA GÖTALANDS LÄN</t>
        </is>
      </c>
      <c r="G506" t="inlineStr">
        <is>
          <t>ULRICEHAMN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46284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45626</v>
      </c>
      <c r="E508" s="1" t="n">
        <v>46284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56672-2024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45626</v>
      </c>
      <c r="E509" s="1" t="n">
        <v>46284</v>
      </c>
      <c r="F509" t="inlineStr">
        <is>
          <t>VÄSTRA GÖTALANDS LÄN</t>
        </is>
      </c>
      <c r="G509" t="inlineStr">
        <is>
          <t>ULRICEHAMN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45626</v>
      </c>
      <c r="E510" s="1" t="n">
        <v>46284</v>
      </c>
      <c r="F510" t="inlineStr">
        <is>
          <t>VÄSTRA GÖTALANDS LÄN</t>
        </is>
      </c>
      <c r="G510" t="inlineStr">
        <is>
          <t>ULRICEHAMN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46063</v>
      </c>
      <c r="E511" s="1" t="n">
        <v>46284</v>
      </c>
      <c r="F511" t="inlineStr">
        <is>
          <t>VÄSTRA GÖTALANDS LÄN</t>
        </is>
      </c>
      <c r="G511" t="inlineStr">
        <is>
          <t>ULRICEHAMN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45299</v>
      </c>
      <c r="E512" s="1" t="n">
        <v>46284</v>
      </c>
      <c r="F512" t="inlineStr">
        <is>
          <t>VÄSTRA GÖTALANDS LÄN</t>
        </is>
      </c>
      <c r="G512" t="inlineStr">
        <is>
          <t>ULRICEHAMN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45181</v>
      </c>
      <c r="E513" s="1" t="n">
        <v>46284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45320</v>
      </c>
      <c r="E514" s="1" t="n">
        <v>46284</v>
      </c>
      <c r="F514" t="inlineStr">
        <is>
          <t>VÄSTRA GÖTALANDS LÄN</t>
        </is>
      </c>
      <c r="G514" t="inlineStr">
        <is>
          <t>ULRICEHAMN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52172-2023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45224</v>
      </c>
      <c r="E515" s="1" t="n">
        <v>46284</v>
      </c>
      <c r="F515" t="inlineStr">
        <is>
          <t>VÄSTRA GÖTALANDS LÄN</t>
        </is>
      </c>
      <c r="G515" t="inlineStr">
        <is>
          <t>ULRICEHAMN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46284</v>
      </c>
      <c r="F516" t="inlineStr">
        <is>
          <t>VÄSTRA GÖTALANDS LÄN</t>
        </is>
      </c>
      <c r="G516" t="inlineStr">
        <is>
          <t>ULRICEHAMN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45166</v>
      </c>
      <c r="E517" s="1" t="n">
        <v>46284</v>
      </c>
      <c r="F517" t="inlineStr">
        <is>
          <t>VÄSTRA GÖTALANDS LÄN</t>
        </is>
      </c>
      <c r="G517" t="inlineStr">
        <is>
          <t>ULRICEHAMN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45225</v>
      </c>
      <c r="E518" s="1" t="n">
        <v>46284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45190</v>
      </c>
      <c r="E519" s="1" t="n">
        <v>46284</v>
      </c>
      <c r="F519" t="inlineStr">
        <is>
          <t>VÄSTRA GÖTALANDS LÄN</t>
        </is>
      </c>
      <c r="G519" t="inlineStr">
        <is>
          <t>ULRICEHAMN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61908-2021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44501</v>
      </c>
      <c r="E520" s="1" t="n">
        <v>46284</v>
      </c>
      <c r="F520" t="inlineStr">
        <is>
          <t>VÄSTRA GÖTALANDS LÄN</t>
        </is>
      </c>
      <c r="G520" t="inlineStr">
        <is>
          <t>ULRICEHAMN</t>
        </is>
      </c>
      <c r="I520" t="n">
        <v>10.1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45384</v>
      </c>
      <c r="E521" s="1" t="n">
        <v>46284</v>
      </c>
      <c r="F521" t="inlineStr">
        <is>
          <t>VÄSTRA GÖTALANDS LÄN</t>
        </is>
      </c>
      <c r="G521" t="inlineStr">
        <is>
          <t>ULRICEHAMN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46284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49825-2024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45597</v>
      </c>
      <c r="E523" s="1" t="n">
        <v>46284</v>
      </c>
      <c r="F523" t="inlineStr">
        <is>
          <t>VÄSTRA GÖTALANDS LÄN</t>
        </is>
      </c>
      <c r="G523" t="inlineStr">
        <is>
          <t>ULRICEHAMN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42438-2024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45565</v>
      </c>
      <c r="E524" s="1" t="n">
        <v>46284</v>
      </c>
      <c r="F524" t="inlineStr">
        <is>
          <t>VÄSTRA GÖTALANDS LÄN</t>
        </is>
      </c>
      <c r="G524" t="inlineStr">
        <is>
          <t>ULRICEHAMN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46284</v>
      </c>
      <c r="F525" t="inlineStr">
        <is>
          <t>VÄSTRA GÖTALANDS LÄN</t>
        </is>
      </c>
      <c r="G525" t="inlineStr">
        <is>
          <t>ULRICEHAMN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45225</v>
      </c>
      <c r="E526" s="1" t="n">
        <v>46284</v>
      </c>
      <c r="F526" t="inlineStr">
        <is>
          <t>VÄSTRA GÖTALANDS LÄN</t>
        </is>
      </c>
      <c r="G526" t="inlineStr">
        <is>
          <t>ULRICEHAMN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46284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46091</v>
      </c>
      <c r="E528" s="1" t="n">
        <v>46284</v>
      </c>
      <c r="F528" t="inlineStr">
        <is>
          <t>VÄSTRA GÖTALANDS LÄN</t>
        </is>
      </c>
      <c r="G528" t="inlineStr">
        <is>
          <t>ULRICEHAMN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46284</v>
      </c>
      <c r="F529" t="inlineStr">
        <is>
          <t>VÄSTRA GÖTALANDS LÄN</t>
        </is>
      </c>
      <c r="G529" t="inlineStr">
        <is>
          <t>ULRICEHAMN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45250</v>
      </c>
      <c r="E530" s="1" t="n">
        <v>46284</v>
      </c>
      <c r="F530" t="inlineStr">
        <is>
          <t>VÄSTRA GÖTALANDS LÄN</t>
        </is>
      </c>
      <c r="G530" t="inlineStr">
        <is>
          <t>ULRICEHAMN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46284</v>
      </c>
      <c r="F531" t="inlineStr">
        <is>
          <t>VÄSTRA GÖTALANDS LÄN</t>
        </is>
      </c>
      <c r="G531" t="inlineStr">
        <is>
          <t>ULRICEHAMN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45104</v>
      </c>
      <c r="E532" s="1" t="n">
        <v>46284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45008</v>
      </c>
      <c r="E533" s="1" t="n">
        <v>46284</v>
      </c>
      <c r="F533" t="inlineStr">
        <is>
          <t>VÄSTRA GÖTALANDS LÄN</t>
        </is>
      </c>
      <c r="G533" t="inlineStr">
        <is>
          <t>ULRICEHAMN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46284</v>
      </c>
      <c r="F534" t="inlineStr">
        <is>
          <t>VÄSTRA GÖTALANDS LÄN</t>
        </is>
      </c>
      <c r="G534" t="inlineStr">
        <is>
          <t>ULRICEHAMN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44763</v>
      </c>
      <c r="E535" s="1" t="n">
        <v>46284</v>
      </c>
      <c r="F535" t="inlineStr">
        <is>
          <t>VÄSTRA GÖTALANDS LÄN</t>
        </is>
      </c>
      <c r="G535" t="inlineStr">
        <is>
          <t>ULRICEHAMN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46284</v>
      </c>
      <c r="F536" t="inlineStr">
        <is>
          <t>VÄSTRA GÖTALANDS LÄN</t>
        </is>
      </c>
      <c r="G536" t="inlineStr">
        <is>
          <t>ULRICEHAMN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46284</v>
      </c>
      <c r="F537" t="inlineStr">
        <is>
          <t>VÄSTRA GÖTALANDS LÄN</t>
        </is>
      </c>
      <c r="G537" t="inlineStr">
        <is>
          <t>ULRICEHAMN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45086</v>
      </c>
      <c r="E538" s="1" t="n">
        <v>46284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39762-2024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45552</v>
      </c>
      <c r="E539" s="1" t="n">
        <v>46284</v>
      </c>
      <c r="F539" t="inlineStr">
        <is>
          <t>VÄSTRA GÖTALANDS LÄN</t>
        </is>
      </c>
      <c r="G539" t="inlineStr">
        <is>
          <t>ULRICEHAMN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45552</v>
      </c>
      <c r="E540" s="1" t="n">
        <v>46284</v>
      </c>
      <c r="F540" t="inlineStr">
        <is>
          <t>VÄSTRA GÖTALANDS LÄN</t>
        </is>
      </c>
      <c r="G540" t="inlineStr">
        <is>
          <t>ULRICEHAMN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45139</v>
      </c>
      <c r="E541" s="1" t="n">
        <v>46284</v>
      </c>
      <c r="F541" t="inlineStr">
        <is>
          <t>VÄSTRA GÖTALANDS LÄN</t>
        </is>
      </c>
      <c r="G541" t="inlineStr">
        <is>
          <t>ULRICEHAMN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45408</v>
      </c>
      <c r="E542" s="1" t="n">
        <v>46284</v>
      </c>
      <c r="F542" t="inlineStr">
        <is>
          <t>VÄSTRA GÖTALANDS LÄN</t>
        </is>
      </c>
      <c r="G542" t="inlineStr">
        <is>
          <t>ULRICEHAMN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46284</v>
      </c>
      <c r="F543" t="inlineStr">
        <is>
          <t>VÄSTRA GÖTALANDS LÄN</t>
        </is>
      </c>
      <c r="G543" t="inlineStr">
        <is>
          <t>ULRICEHAMN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26350-2022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44735</v>
      </c>
      <c r="E544" s="1" t="n">
        <v>46284</v>
      </c>
      <c r="F544" t="inlineStr">
        <is>
          <t>VÄSTRA GÖTALANDS LÄN</t>
        </is>
      </c>
      <c r="G544" t="inlineStr">
        <is>
          <t>ULRICEHAMN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17114-2026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46114</v>
      </c>
      <c r="E545" s="1" t="n">
        <v>46284</v>
      </c>
      <c r="F545" t="inlineStr">
        <is>
          <t>VÄSTRA GÖTALANDS LÄN</t>
        </is>
      </c>
      <c r="G545" t="inlineStr">
        <is>
          <t>ULRICEHAMN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46118</v>
      </c>
      <c r="E546" s="1" t="n">
        <v>46284</v>
      </c>
      <c r="F546" t="inlineStr">
        <is>
          <t>VÄSTRA GÖTALANDS LÄN</t>
        </is>
      </c>
      <c r="G546" t="inlineStr">
        <is>
          <t>ULRICEHAMN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46284</v>
      </c>
      <c r="F547" t="inlineStr">
        <is>
          <t>VÄSTRA GÖTALANDS LÄN</t>
        </is>
      </c>
      <c r="G547" t="inlineStr">
        <is>
          <t>ULRICEHAMN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17602-2026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46121</v>
      </c>
      <c r="E548" s="1" t="n">
        <v>46284</v>
      </c>
      <c r="F548" t="inlineStr">
        <is>
          <t>VÄSTRA GÖTALANDS LÄN</t>
        </is>
      </c>
      <c r="G548" t="inlineStr">
        <is>
          <t>ULRICEHAMN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24922-2024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45461</v>
      </c>
      <c r="E549" s="1" t="n">
        <v>46284</v>
      </c>
      <c r="F549" t="inlineStr">
        <is>
          <t>VÄSTRA GÖTALANDS LÄN</t>
        </is>
      </c>
      <c r="G549" t="inlineStr">
        <is>
          <t>ULRICEHAMN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45573</v>
      </c>
      <c r="E550" s="1" t="n">
        <v>46284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46125</v>
      </c>
      <c r="E551" s="1" t="n">
        <v>46284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46284</v>
      </c>
      <c r="F552" t="inlineStr">
        <is>
          <t>VÄSTRA GÖTALANDS LÄN</t>
        </is>
      </c>
      <c r="G552" t="inlineStr">
        <is>
          <t>ULRICEHAMN</t>
        </is>
      </c>
      <c r="H552" t="inlineStr">
        <is>
          <t>Kyrkan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16895-2023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45033</v>
      </c>
      <c r="E553" s="1" t="n">
        <v>46284</v>
      </c>
      <c r="F553" t="inlineStr">
        <is>
          <t>VÄSTRA GÖTALANDS LÄN</t>
        </is>
      </c>
      <c r="G553" t="inlineStr">
        <is>
          <t>ULRICEHAMN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46284</v>
      </c>
      <c r="F554" t="inlineStr">
        <is>
          <t>VÄSTRA GÖTALANDS LÄN</t>
        </is>
      </c>
      <c r="G554" t="inlineStr">
        <is>
          <t>ULRICEHAMN</t>
        </is>
      </c>
      <c r="H554" t="inlineStr">
        <is>
          <t>Kyrkan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45161</v>
      </c>
      <c r="E555" s="1" t="n">
        <v>46284</v>
      </c>
      <c r="F555" t="inlineStr">
        <is>
          <t>VÄSTRA GÖTALANDS LÄN</t>
        </is>
      </c>
      <c r="G555" t="inlineStr">
        <is>
          <t>ULRICEHAMN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46284</v>
      </c>
      <c r="F556" t="inlineStr">
        <is>
          <t>VÄSTRA GÖTALANDS LÄN</t>
        </is>
      </c>
      <c r="G556" t="inlineStr">
        <is>
          <t>ULRICEHAMN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45377</v>
      </c>
      <c r="E557" s="1" t="n">
        <v>46284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45377</v>
      </c>
      <c r="E558" s="1" t="n">
        <v>46284</v>
      </c>
      <c r="F558" t="inlineStr">
        <is>
          <t>VÄSTRA GÖTALANDS LÄN</t>
        </is>
      </c>
      <c r="G558" t="inlineStr">
        <is>
          <t>ULRICEHAMN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45377</v>
      </c>
      <c r="E559" s="1" t="n">
        <v>46284</v>
      </c>
      <c r="F559" t="inlineStr">
        <is>
          <t>VÄSTRA GÖTALANDS LÄN</t>
        </is>
      </c>
      <c r="G559" t="inlineStr">
        <is>
          <t>ULRICEHAMN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44858</v>
      </c>
      <c r="E560" s="1" t="n">
        <v>46284</v>
      </c>
      <c r="F560" t="inlineStr">
        <is>
          <t>VÄSTRA GÖTALANDS LÄN</t>
        </is>
      </c>
      <c r="G560" t="inlineStr">
        <is>
          <t>ULRICEHAMN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46284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27399-2024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45474</v>
      </c>
      <c r="E562" s="1" t="n">
        <v>46284</v>
      </c>
      <c r="F562" t="inlineStr">
        <is>
          <t>VÄSTRA GÖTALANDS LÄN</t>
        </is>
      </c>
      <c r="G562" t="inlineStr">
        <is>
          <t>ULRICEHAMN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48242-2024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46284</v>
      </c>
      <c r="F563" t="inlineStr">
        <is>
          <t>VÄSTRA GÖTALANDS LÄN</t>
        </is>
      </c>
      <c r="G563" t="inlineStr">
        <is>
          <t>ULRICEHAMN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45573</v>
      </c>
      <c r="E564" s="1" t="n">
        <v>46284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53088-2023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45227</v>
      </c>
      <c r="E565" s="1" t="n">
        <v>46284</v>
      </c>
      <c r="F565" t="inlineStr">
        <is>
          <t>VÄSTRA GÖTALANDS LÄN</t>
        </is>
      </c>
      <c r="G565" t="inlineStr">
        <is>
          <t>ULRICEHAMN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46284</v>
      </c>
      <c r="F566" t="inlineStr">
        <is>
          <t>VÄSTRA GÖTALANDS LÄN</t>
        </is>
      </c>
      <c r="G566" t="inlineStr">
        <is>
          <t>ULRICEHAMN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45947</v>
      </c>
      <c r="E567" s="1" t="n">
        <v>46284</v>
      </c>
      <c r="F567" t="inlineStr">
        <is>
          <t>VÄSTRA GÖTALANDS LÄN</t>
        </is>
      </c>
      <c r="G567" t="inlineStr">
        <is>
          <t>ULRICEHAMN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46284</v>
      </c>
      <c r="F568" t="inlineStr">
        <is>
          <t>VÄSTRA GÖTALANDS LÄN</t>
        </is>
      </c>
      <c r="G568" t="inlineStr">
        <is>
          <t>ULRICEHAMN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45257</v>
      </c>
      <c r="E569" s="1" t="n">
        <v>46284</v>
      </c>
      <c r="F569" t="inlineStr">
        <is>
          <t>VÄSTRA GÖTALANDS LÄN</t>
        </is>
      </c>
      <c r="G569" t="inlineStr">
        <is>
          <t>ULRICEHAMN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45691</v>
      </c>
      <c r="E570" s="1" t="n">
        <v>46284</v>
      </c>
      <c r="F570" t="inlineStr">
        <is>
          <t>VÄSTRA GÖTALANDS LÄN</t>
        </is>
      </c>
      <c r="G570" t="inlineStr">
        <is>
          <t>ULRICEHAMN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16680-2024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46284</v>
      </c>
      <c r="F571" t="inlineStr">
        <is>
          <t>VÄSTRA GÖTALANDS LÄN</t>
        </is>
      </c>
      <c r="G571" t="inlineStr">
        <is>
          <t>ULRICEHAMN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46284</v>
      </c>
      <c r="F572" t="inlineStr">
        <is>
          <t>VÄSTRA GÖTALANDS LÄN</t>
        </is>
      </c>
      <c r="G572" t="inlineStr">
        <is>
          <t>ULRICEHAMN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5471-2024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45332</v>
      </c>
      <c r="E573" s="1" t="n">
        <v>46284</v>
      </c>
      <c r="F573" t="inlineStr">
        <is>
          <t>VÄSTRA GÖTALANDS LÄN</t>
        </is>
      </c>
      <c r="G573" t="inlineStr">
        <is>
          <t>ULRICEHAMN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33890-2023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45134</v>
      </c>
      <c r="E574" s="1" t="n">
        <v>46284</v>
      </c>
      <c r="F574" t="inlineStr">
        <is>
          <t>VÄSTRA GÖTALANDS LÄN</t>
        </is>
      </c>
      <c r="G574" t="inlineStr">
        <is>
          <t>ULRICEHAMN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44593</v>
      </c>
      <c r="E575" s="1" t="n">
        <v>46284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56295-2023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45242</v>
      </c>
      <c r="E576" s="1" t="n">
        <v>46284</v>
      </c>
      <c r="F576" t="inlineStr">
        <is>
          <t>VÄSTRA GÖTALANDS LÄN</t>
        </is>
      </c>
      <c r="G576" t="inlineStr">
        <is>
          <t>ULRICEHAMN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37685-2022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44810</v>
      </c>
      <c r="E577" s="1" t="n">
        <v>46284</v>
      </c>
      <c r="F577" t="inlineStr">
        <is>
          <t>VÄSTRA GÖTALANDS LÄN</t>
        </is>
      </c>
      <c r="G577" t="inlineStr">
        <is>
          <t>ULRICEHAMN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45427</v>
      </c>
      <c r="E578" s="1" t="n">
        <v>46284</v>
      </c>
      <c r="F578" t="inlineStr">
        <is>
          <t>VÄSTRA GÖTALANDS LÄN</t>
        </is>
      </c>
      <c r="G578" t="inlineStr">
        <is>
          <t>ULRICEHAMN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46284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46284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45272</v>
      </c>
      <c r="E581" s="1" t="n">
        <v>46284</v>
      </c>
      <c r="F581" t="inlineStr">
        <is>
          <t>VÄSTRA GÖTALANDS LÄN</t>
        </is>
      </c>
      <c r="G581" t="inlineStr">
        <is>
          <t>ULRICEHAMN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46284</v>
      </c>
      <c r="F582" t="inlineStr">
        <is>
          <t>VÄSTRA GÖTALANDS LÄN</t>
        </is>
      </c>
      <c r="G582" t="inlineStr">
        <is>
          <t>ULRICEHAMN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46284</v>
      </c>
      <c r="F583" t="inlineStr">
        <is>
          <t>VÄSTRA GÖTALANDS LÄN</t>
        </is>
      </c>
      <c r="G583" t="inlineStr">
        <is>
          <t>ULRICEHAMN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46284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46284</v>
      </c>
      <c r="F585" t="inlineStr">
        <is>
          <t>VÄSTRA GÖTALANDS LÄN</t>
        </is>
      </c>
      <c r="G585" t="inlineStr">
        <is>
          <t>ULRICEHAMN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46284</v>
      </c>
      <c r="F586" t="inlineStr">
        <is>
          <t>VÄSTRA GÖTALANDS LÄN</t>
        </is>
      </c>
      <c r="G586" t="inlineStr">
        <is>
          <t>ULRICEHAMN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44565</v>
      </c>
      <c r="E587" s="1" t="n">
        <v>46284</v>
      </c>
      <c r="F587" t="inlineStr">
        <is>
          <t>VÄSTRA GÖTALANDS LÄN</t>
        </is>
      </c>
      <c r="G587" t="inlineStr">
        <is>
          <t>ULRICEHAMN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51392-2024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45604</v>
      </c>
      <c r="E588" s="1" t="n">
        <v>46284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45070</v>
      </c>
      <c r="E589" s="1" t="n">
        <v>46284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46284</v>
      </c>
      <c r="F590" t="inlineStr">
        <is>
          <t>VÄSTRA GÖTALANDS LÄN</t>
        </is>
      </c>
      <c r="G590" t="inlineStr">
        <is>
          <t>ULRICEHAMN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12934-2022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44642</v>
      </c>
      <c r="E591" s="1" t="n">
        <v>46284</v>
      </c>
      <c r="F591" t="inlineStr">
        <is>
          <t>VÄSTRA GÖTALANDS LÄN</t>
        </is>
      </c>
      <c r="G591" t="inlineStr">
        <is>
          <t>ULRICEHAMN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46284</v>
      </c>
      <c r="F592" t="inlineStr">
        <is>
          <t>VÄSTRA GÖTALANDS LÄN</t>
        </is>
      </c>
      <c r="G592" t="inlineStr">
        <is>
          <t>ULRICEHAMN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46284</v>
      </c>
      <c r="F593" t="inlineStr">
        <is>
          <t>VÄSTRA GÖTALANDS LÄN</t>
        </is>
      </c>
      <c r="G593" t="inlineStr">
        <is>
          <t>ULRICEHAMN</t>
        </is>
      </c>
      <c r="I593" t="n">
        <v>10.8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63265-2023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45273</v>
      </c>
      <c r="E594" s="1" t="n">
        <v>46284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46284</v>
      </c>
      <c r="F595" t="inlineStr">
        <is>
          <t>VÄSTRA GÖTALANDS LÄN</t>
        </is>
      </c>
      <c r="G595" t="inlineStr">
        <is>
          <t>ULRICEHAMN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46284</v>
      </c>
      <c r="F596" t="inlineStr">
        <is>
          <t>VÄSTRA GÖTALANDS LÄN</t>
        </is>
      </c>
      <c r="G596" t="inlineStr">
        <is>
          <t>ULRICEHAMN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33411-2026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46284</v>
      </c>
      <c r="F597" t="inlineStr">
        <is>
          <t>VÄSTRA GÖTALANDS LÄN</t>
        </is>
      </c>
      <c r="G597" t="inlineStr">
        <is>
          <t>ULRICEHAMN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46216</v>
      </c>
      <c r="E598" s="1" t="n">
        <v>46284</v>
      </c>
      <c r="F598" t="inlineStr">
        <is>
          <t>VÄSTRA GÖTALANDS LÄN</t>
        </is>
      </c>
      <c r="G598" t="inlineStr">
        <is>
          <t>ULRICEHAMN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45059</v>
      </c>
      <c r="E599" s="1" t="n">
        <v>46284</v>
      </c>
      <c r="F599" t="inlineStr">
        <is>
          <t>VÄSTRA GÖTALANDS LÄN</t>
        </is>
      </c>
      <c r="G599" t="inlineStr">
        <is>
          <t>ULRICEHAMN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45059</v>
      </c>
      <c r="E600" s="1" t="n">
        <v>46284</v>
      </c>
      <c r="F600" t="inlineStr">
        <is>
          <t>VÄSTRA GÖTALANDS LÄN</t>
        </is>
      </c>
      <c r="G600" t="inlineStr">
        <is>
          <t>ULRICEHAMN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40031-2023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45168</v>
      </c>
      <c r="E601" s="1" t="n">
        <v>46284</v>
      </c>
      <c r="F601" t="inlineStr">
        <is>
          <t>VÄSTRA GÖTALANDS LÄN</t>
        </is>
      </c>
      <c r="G601" t="inlineStr">
        <is>
          <t>ULRICEHAMN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40035-2023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45168</v>
      </c>
      <c r="E602" s="1" t="n">
        <v>46284</v>
      </c>
      <c r="F602" t="inlineStr">
        <is>
          <t>VÄSTRA GÖTALANDS LÄN</t>
        </is>
      </c>
      <c r="G602" t="inlineStr">
        <is>
          <t>ULRICEHAMN</t>
        </is>
      </c>
      <c r="I602" t="n">
        <v>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45038</v>
      </c>
      <c r="E603" s="1" t="n">
        <v>46284</v>
      </c>
      <c r="F603" t="inlineStr">
        <is>
          <t>VÄSTRA GÖTALANDS LÄN</t>
        </is>
      </c>
      <c r="G603" t="inlineStr">
        <is>
          <t>ULRICEHAMN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46284</v>
      </c>
      <c r="F604" t="inlineStr">
        <is>
          <t>VÄSTRA GÖTALANDS LÄN</t>
        </is>
      </c>
      <c r="G604" t="inlineStr">
        <is>
          <t>ULRICEHAMN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59985-2022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46284</v>
      </c>
      <c r="F605" t="inlineStr">
        <is>
          <t>VÄSTRA GÖTALANDS LÄN</t>
        </is>
      </c>
      <c r="G605" t="inlineStr">
        <is>
          <t>ULRICEHAMN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16275-2025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45750</v>
      </c>
      <c r="E606" s="1" t="n">
        <v>46284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15289-2025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45745</v>
      </c>
      <c r="E607" s="1" t="n">
        <v>46284</v>
      </c>
      <c r="F607" t="inlineStr">
        <is>
          <t>VÄSTRA GÖTALANDS LÄN</t>
        </is>
      </c>
      <c r="G607" t="inlineStr">
        <is>
          <t>ULRICEHAMN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46284</v>
      </c>
      <c r="F608" t="inlineStr">
        <is>
          <t>VÄSTRA GÖTALANDS LÄN</t>
        </is>
      </c>
      <c r="G608" t="inlineStr">
        <is>
          <t>ULRICEHAMN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46284</v>
      </c>
      <c r="F609" t="inlineStr">
        <is>
          <t>VÄSTRA GÖTALANDS LÄN</t>
        </is>
      </c>
      <c r="G609" t="inlineStr">
        <is>
          <t>ULRICEHAMN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52713-2023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46284</v>
      </c>
      <c r="F610" t="inlineStr">
        <is>
          <t>VÄSTRA GÖTALANDS LÄN</t>
        </is>
      </c>
      <c r="G610" t="inlineStr">
        <is>
          <t>ULRICEHAMN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44967</v>
      </c>
      <c r="E611" s="1" t="n">
        <v>46284</v>
      </c>
      <c r="F611" t="inlineStr">
        <is>
          <t>VÄSTRA GÖTALANDS LÄN</t>
        </is>
      </c>
      <c r="G611" t="inlineStr">
        <is>
          <t>ULRICEHAMN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44967</v>
      </c>
      <c r="E612" s="1" t="n">
        <v>46284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46284</v>
      </c>
      <c r="F613" t="inlineStr">
        <is>
          <t>VÄSTRA GÖTALANDS LÄN</t>
        </is>
      </c>
      <c r="G613" t="inlineStr">
        <is>
          <t>ULRICEHAMN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45643</v>
      </c>
      <c r="E614" s="1" t="n">
        <v>46284</v>
      </c>
      <c r="F614" t="inlineStr">
        <is>
          <t>VÄSTRA GÖTALANDS LÄN</t>
        </is>
      </c>
      <c r="G614" t="inlineStr">
        <is>
          <t>ULRICEHAMN</t>
        </is>
      </c>
      <c r="I614" t="n">
        <v>10.7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45041</v>
      </c>
      <c r="E615" s="1" t="n">
        <v>46284</v>
      </c>
      <c r="F615" t="inlineStr">
        <is>
          <t>VÄSTRA GÖTALANDS LÄN</t>
        </is>
      </c>
      <c r="G615" t="inlineStr">
        <is>
          <t>ULRICEHAMN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60992-2021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44497</v>
      </c>
      <c r="E616" s="1" t="n">
        <v>46284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45090</v>
      </c>
      <c r="E617" s="1" t="n">
        <v>46284</v>
      </c>
      <c r="F617" t="inlineStr">
        <is>
          <t>VÄSTRA GÖTALANDS LÄN</t>
        </is>
      </c>
      <c r="G617" t="inlineStr">
        <is>
          <t>ULRICEHAMN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16577-2022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44672</v>
      </c>
      <c r="E618" s="1" t="n">
        <v>46284</v>
      </c>
      <c r="F618" t="inlineStr">
        <is>
          <t>VÄSTRA GÖTALANDS LÄN</t>
        </is>
      </c>
      <c r="G618" t="inlineStr">
        <is>
          <t>ULRICEHAMN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48986-2023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45209</v>
      </c>
      <c r="E619" s="1" t="n">
        <v>46284</v>
      </c>
      <c r="F619" t="inlineStr">
        <is>
          <t>VÄSTRA GÖTALANDS LÄN</t>
        </is>
      </c>
      <c r="G619" t="inlineStr">
        <is>
          <t>ULRICEHAMN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8670-2022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44613</v>
      </c>
      <c r="E620" s="1" t="n">
        <v>46284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46284</v>
      </c>
      <c r="F621" t="inlineStr">
        <is>
          <t>VÄSTRA GÖTALANDS LÄN</t>
        </is>
      </c>
      <c r="G621" t="inlineStr">
        <is>
          <t>ULRICEHAMN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38056-2024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45544</v>
      </c>
      <c r="E622" s="1" t="n">
        <v>46284</v>
      </c>
      <c r="F622" t="inlineStr">
        <is>
          <t>VÄSTRA GÖTALANDS LÄN</t>
        </is>
      </c>
      <c r="G622" t="inlineStr">
        <is>
          <t>ULRICEHAMN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45158</v>
      </c>
      <c r="E623" s="1" t="n">
        <v>46284</v>
      </c>
      <c r="F623" t="inlineStr">
        <is>
          <t>VÄSTRA GÖTALANDS LÄN</t>
        </is>
      </c>
      <c r="G623" t="inlineStr">
        <is>
          <t>ULRICEHAMN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46223</v>
      </c>
      <c r="E624" s="1" t="n">
        <v>46284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45428</v>
      </c>
      <c r="E625" s="1" t="n">
        <v>46284</v>
      </c>
      <c r="F625" t="inlineStr">
        <is>
          <t>VÄSTRA GÖTALANDS LÄN</t>
        </is>
      </c>
      <c r="G625" t="inlineStr">
        <is>
          <t>ULRICEHAMN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45070</v>
      </c>
      <c r="E626" s="1" t="n">
        <v>46284</v>
      </c>
      <c r="F626" t="inlineStr">
        <is>
          <t>VÄSTRA GÖTALANDS LÄN</t>
        </is>
      </c>
      <c r="G626" t="inlineStr">
        <is>
          <t>ULRICEHAMN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45471</v>
      </c>
      <c r="E627" s="1" t="n">
        <v>46284</v>
      </c>
      <c r="F627" t="inlineStr">
        <is>
          <t>VÄSTRA GÖTALANDS LÄN</t>
        </is>
      </c>
      <c r="G627" t="inlineStr">
        <is>
          <t>ULRICEHAMN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36054-2026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46267</v>
      </c>
      <c r="E628" s="1" t="n">
        <v>46284</v>
      </c>
      <c r="F628" t="inlineStr">
        <is>
          <t>VÄSTRA GÖTALANDS LÄN</t>
        </is>
      </c>
      <c r="G628" t="inlineStr">
        <is>
          <t>ULRICEHAMN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15180-2022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44658</v>
      </c>
      <c r="E629" s="1" t="n">
        <v>46284</v>
      </c>
      <c r="F629" t="inlineStr">
        <is>
          <t>VÄSTRA GÖTALANDS LÄN</t>
        </is>
      </c>
      <c r="G629" t="inlineStr">
        <is>
          <t>ULRICEHAMN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46223</v>
      </c>
      <c r="E630" s="1" t="n">
        <v>46284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58560-2021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44488</v>
      </c>
      <c r="E631" s="1" t="n">
        <v>46284</v>
      </c>
      <c r="F631" t="inlineStr">
        <is>
          <t>VÄSTRA GÖTALANDS LÄN</t>
        </is>
      </c>
      <c r="G631" t="inlineStr">
        <is>
          <t>ULRICEHAMN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46224</v>
      </c>
      <c r="E632" s="1" t="n">
        <v>46284</v>
      </c>
      <c r="F632" t="inlineStr">
        <is>
          <t>VÄSTRA GÖTALANDS LÄN</t>
        </is>
      </c>
      <c r="G632" t="inlineStr">
        <is>
          <t>ULRICEHAMN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46224</v>
      </c>
      <c r="E633" s="1" t="n">
        <v>46284</v>
      </c>
      <c r="F633" t="inlineStr">
        <is>
          <t>VÄSTRA GÖTALANDS LÄN</t>
        </is>
      </c>
      <c r="G633" t="inlineStr">
        <is>
          <t>ULRICEHAMN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46223</v>
      </c>
      <c r="E634" s="1" t="n">
        <v>46284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Sveaskog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46224</v>
      </c>
      <c r="E635" s="1" t="n">
        <v>46284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Kyrkan</t>
        </is>
      </c>
      <c r="I635" t="n">
        <v>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46284</v>
      </c>
      <c r="F636" t="inlineStr">
        <is>
          <t>VÄSTRA GÖTALANDS LÄN</t>
        </is>
      </c>
      <c r="G636" t="inlineStr">
        <is>
          <t>ULRICEHAMN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22715-2023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46284</v>
      </c>
      <c r="F637" t="inlineStr">
        <is>
          <t>VÄSTRA GÖTALANDS LÄN</t>
        </is>
      </c>
      <c r="G637" t="inlineStr">
        <is>
          <t>ULRICEHAMN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36415-2026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46284</v>
      </c>
      <c r="F638" t="inlineStr">
        <is>
          <t>VÄSTRA GÖTALANDS LÄN</t>
        </is>
      </c>
      <c r="G638" t="inlineStr">
        <is>
          <t>ULRICEHAMN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46227</v>
      </c>
      <c r="E639" s="1" t="n">
        <v>46284</v>
      </c>
      <c r="F639" t="inlineStr">
        <is>
          <t>VÄSTRA GÖTALANDS LÄN</t>
        </is>
      </c>
      <c r="G639" t="inlineStr">
        <is>
          <t>ULRICEHAMN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46284</v>
      </c>
      <c r="F640" t="inlineStr">
        <is>
          <t>VÄSTRA GÖTALANDS LÄN</t>
        </is>
      </c>
      <c r="G640" t="inlineStr">
        <is>
          <t>ULRICEHAMN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46272</v>
      </c>
      <c r="E641" s="1" t="n">
        <v>46284</v>
      </c>
      <c r="F641" t="inlineStr">
        <is>
          <t>VÄSTRA GÖTALANDS LÄN</t>
        </is>
      </c>
      <c r="G641" t="inlineStr">
        <is>
          <t>ULRICEHAMN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46284</v>
      </c>
      <c r="F642" t="inlineStr">
        <is>
          <t>VÄSTRA GÖTALANDS LÄN</t>
        </is>
      </c>
      <c r="G642" t="inlineStr">
        <is>
          <t>ULRICEHAMN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21314-2025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46284</v>
      </c>
      <c r="F643" t="inlineStr">
        <is>
          <t>VÄSTRA GÖTALANDS LÄN</t>
        </is>
      </c>
      <c r="G643" t="inlineStr">
        <is>
          <t>ULRICEHAMN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46272</v>
      </c>
      <c r="E644" s="1" t="n">
        <v>46284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46271</v>
      </c>
      <c r="E645" s="1" t="n">
        <v>46284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46271</v>
      </c>
      <c r="E646" s="1" t="n">
        <v>46284</v>
      </c>
      <c r="F646" t="inlineStr">
        <is>
          <t>VÄSTRA GÖTALANDS LÄN</t>
        </is>
      </c>
      <c r="G646" t="inlineStr">
        <is>
          <t>ULRICEHAMN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48406-2025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45934</v>
      </c>
      <c r="E647" s="1" t="n">
        <v>46284</v>
      </c>
      <c r="F647" t="inlineStr">
        <is>
          <t>VÄSTRA GÖTALANDS LÄN</t>
        </is>
      </c>
      <c r="G647" t="inlineStr">
        <is>
          <t>ULRICEHAMN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46284</v>
      </c>
      <c r="F648" t="inlineStr">
        <is>
          <t>VÄSTRA GÖTALANDS LÄN</t>
        </is>
      </c>
      <c r="G648" t="inlineStr">
        <is>
          <t>ULRICEHAMN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22110-2025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45785</v>
      </c>
      <c r="E649" s="1" t="n">
        <v>46284</v>
      </c>
      <c r="F649" t="inlineStr">
        <is>
          <t>VÄSTRA GÖTALANDS LÄN</t>
        </is>
      </c>
      <c r="G649" t="inlineStr">
        <is>
          <t>ULRICEHAMN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46284</v>
      </c>
      <c r="F650" t="inlineStr">
        <is>
          <t>VÄSTRA GÖTALANDS LÄN</t>
        </is>
      </c>
      <c r="G650" t="inlineStr">
        <is>
          <t>ULRICEHAMN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31863-2026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46231</v>
      </c>
      <c r="E651" s="1" t="n">
        <v>46284</v>
      </c>
      <c r="F651" t="inlineStr">
        <is>
          <t>VÄSTRA GÖTALANDS LÄN</t>
        </is>
      </c>
      <c r="G651" t="inlineStr">
        <is>
          <t>ULRICEHAMN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46232</v>
      </c>
      <c r="E652" s="1" t="n">
        <v>46284</v>
      </c>
      <c r="F652" t="inlineStr">
        <is>
          <t>VÄSTRA GÖTALANDS LÄN</t>
        </is>
      </c>
      <c r="G652" t="inlineStr">
        <is>
          <t>ULRICEHAMN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45412</v>
      </c>
      <c r="E653" s="1" t="n">
        <v>46284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37141-2026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46274</v>
      </c>
      <c r="E654" s="1" t="n">
        <v>46284</v>
      </c>
      <c r="F654" t="inlineStr">
        <is>
          <t>VÄSTRA GÖTALANDS LÄN</t>
        </is>
      </c>
      <c r="G654" t="inlineStr">
        <is>
          <t>ULRICEHAMN</t>
        </is>
      </c>
      <c r="I654" t="n">
        <v>9.800000000000001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46284</v>
      </c>
      <c r="F655" t="inlineStr">
        <is>
          <t>VÄSTRA GÖTALANDS LÄN</t>
        </is>
      </c>
      <c r="G655" t="inlineStr">
        <is>
          <t>ULRICEHAMN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46277</v>
      </c>
      <c r="E656" s="1" t="n">
        <v>46284</v>
      </c>
      <c r="F656" t="inlineStr">
        <is>
          <t>VÄSTRA GÖTALANDS LÄN</t>
        </is>
      </c>
      <c r="G656" t="inlineStr">
        <is>
          <t>ULRICEHAMN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46277</v>
      </c>
      <c r="E657" s="1" t="n">
        <v>46284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46277</v>
      </c>
      <c r="E658" s="1" t="n">
        <v>46284</v>
      </c>
      <c r="F658" t="inlineStr">
        <is>
          <t>VÄSTRA GÖTALANDS LÄN</t>
        </is>
      </c>
      <c r="G658" t="inlineStr">
        <is>
          <t>ULRICEHAMN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8368-2025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45709</v>
      </c>
      <c r="E659" s="1" t="n">
        <v>46284</v>
      </c>
      <c r="F659" t="inlineStr">
        <is>
          <t>VÄSTRA GÖTALANDS LÄN</t>
        </is>
      </c>
      <c r="G659" t="inlineStr">
        <is>
          <t>ULRICEHAMN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37501-2023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45157</v>
      </c>
      <c r="E660" s="1" t="n">
        <v>46284</v>
      </c>
      <c r="F660" t="inlineStr">
        <is>
          <t>VÄSTRA GÖTALANDS LÄN</t>
        </is>
      </c>
      <c r="G660" t="inlineStr">
        <is>
          <t>ULRICEHAMN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23267-2025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45791</v>
      </c>
      <c r="E661" s="1" t="n">
        <v>46284</v>
      </c>
      <c r="F661" t="inlineStr">
        <is>
          <t>VÄSTRA GÖTALANDS LÄN</t>
        </is>
      </c>
      <c r="G661" t="inlineStr">
        <is>
          <t>ULRICEHAMN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22939-2025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45790</v>
      </c>
      <c r="E662" s="1" t="n">
        <v>46284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46284</v>
      </c>
      <c r="F663" t="inlineStr">
        <is>
          <t>VÄSTRA GÖTALANDS LÄN</t>
        </is>
      </c>
      <c r="G663" t="inlineStr">
        <is>
          <t>ULRICEHAMN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24347-2025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45797</v>
      </c>
      <c r="E664" s="1" t="n">
        <v>46284</v>
      </c>
      <c r="F664" t="inlineStr">
        <is>
          <t>VÄSTRA GÖTALANDS LÄN</t>
        </is>
      </c>
      <c r="G664" t="inlineStr">
        <is>
          <t>ULRICEHAMN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24901-2025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45799</v>
      </c>
      <c r="E665" s="1" t="n">
        <v>46284</v>
      </c>
      <c r="F665" t="inlineStr">
        <is>
          <t>VÄSTRA GÖTALANDS LÄN</t>
        </is>
      </c>
      <c r="G665" t="inlineStr">
        <is>
          <t>ULRICEHAMN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32639-2026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46240</v>
      </c>
      <c r="E666" s="1" t="n">
        <v>46284</v>
      </c>
      <c r="F666" t="inlineStr">
        <is>
          <t>VÄSTRA GÖTALANDS LÄN</t>
        </is>
      </c>
      <c r="G666" t="inlineStr">
        <is>
          <t>ULRICEHAMN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46284</v>
      </c>
      <c r="F667" t="inlineStr">
        <is>
          <t>VÄSTRA GÖTALANDS LÄN</t>
        </is>
      </c>
      <c r="G667" t="inlineStr">
        <is>
          <t>ULRICEHAMN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46284</v>
      </c>
      <c r="F668" t="inlineStr">
        <is>
          <t>VÄSTRA GÖTALANDS LÄN</t>
        </is>
      </c>
      <c r="G668" t="inlineStr">
        <is>
          <t>ULRICEHAMN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46284</v>
      </c>
      <c r="F669" t="inlineStr">
        <is>
          <t>VÄSTRA GÖTALANDS LÄN</t>
        </is>
      </c>
      <c r="G669" t="inlineStr">
        <is>
          <t>ULRICEHAMN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46284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46284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46284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46284</v>
      </c>
      <c r="F673" t="inlineStr">
        <is>
          <t>VÄSTRA GÖTALANDS LÄN</t>
        </is>
      </c>
      <c r="G673" t="inlineStr">
        <is>
          <t>ULRICEHAMN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46284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45212</v>
      </c>
      <c r="E675" s="1" t="n">
        <v>46284</v>
      </c>
      <c r="F675" t="inlineStr">
        <is>
          <t>VÄSTRA GÖTALANDS LÄN</t>
        </is>
      </c>
      <c r="G675" t="inlineStr">
        <is>
          <t>ULRICEHAMN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45824</v>
      </c>
      <c r="E676" s="1" t="n">
        <v>46284</v>
      </c>
      <c r="F676" t="inlineStr">
        <is>
          <t>VÄSTRA GÖTALANDS LÄN</t>
        </is>
      </c>
      <c r="G676" t="inlineStr">
        <is>
          <t>ULRICEHAMN</t>
        </is>
      </c>
      <c r="I676" t="n">
        <v>14.8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46284</v>
      </c>
      <c r="F677" t="inlineStr">
        <is>
          <t>VÄSTRA GÖTALANDS LÄN</t>
        </is>
      </c>
      <c r="G677" t="inlineStr">
        <is>
          <t>ULRICEHAMN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46284</v>
      </c>
      <c r="F678" t="inlineStr">
        <is>
          <t>VÄSTRA GÖTALANDS LÄN</t>
        </is>
      </c>
      <c r="G678" t="inlineStr">
        <is>
          <t>ULRICEHAMN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46284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12438-2025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45730</v>
      </c>
      <c r="E680" s="1" t="n">
        <v>46284</v>
      </c>
      <c r="F680" t="inlineStr">
        <is>
          <t>VÄSTRA GÖTALANDS LÄN</t>
        </is>
      </c>
      <c r="G680" t="inlineStr">
        <is>
          <t>ULRICEHAMN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46284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10270-2025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45720</v>
      </c>
      <c r="E682" s="1" t="n">
        <v>46284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31615-2025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46284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46284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46284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46284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46284</v>
      </c>
      <c r="F687" t="inlineStr">
        <is>
          <t>VÄSTRA GÖTALANDS LÄN</t>
        </is>
      </c>
      <c r="G687" t="inlineStr">
        <is>
          <t>ULRICEHAMN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46284</v>
      </c>
      <c r="F688" t="inlineStr">
        <is>
          <t>VÄSTRA GÖTALANDS LÄN</t>
        </is>
      </c>
      <c r="G688" t="inlineStr">
        <is>
          <t>ULRICEHAMN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46284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46284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46284</v>
      </c>
      <c r="F691" t="inlineStr">
        <is>
          <t>VÄSTRA GÖTALANDS LÄN</t>
        </is>
      </c>
      <c r="G691" t="inlineStr">
        <is>
          <t>ULRICEHAMN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32612-2025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46284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46284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46284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46284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46284</v>
      </c>
      <c r="F696" t="inlineStr">
        <is>
          <t>VÄSTRA GÖTALANDS LÄN</t>
        </is>
      </c>
      <c r="G696" t="inlineStr">
        <is>
          <t>ULRICEHAMN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46284</v>
      </c>
      <c r="F697" t="inlineStr">
        <is>
          <t>VÄSTRA GÖTALANDS LÄN</t>
        </is>
      </c>
      <c r="G697" t="inlineStr">
        <is>
          <t>ULRICEHAMN</t>
        </is>
      </c>
      <c r="I697" t="n">
        <v>16.7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46284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46284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46284</v>
      </c>
      <c r="F700" t="inlineStr">
        <is>
          <t>VÄSTRA GÖTALANDS LÄN</t>
        </is>
      </c>
      <c r="G700" t="inlineStr">
        <is>
          <t>ULRICEHAMN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45663</v>
      </c>
      <c r="E701" s="1" t="n">
        <v>46284</v>
      </c>
      <c r="F701" t="inlineStr">
        <is>
          <t>VÄSTRA GÖTALANDS LÄN</t>
        </is>
      </c>
      <c r="G701" t="inlineStr">
        <is>
          <t>ULRICEHAMN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45691</v>
      </c>
      <c r="E702" s="1" t="n">
        <v>46284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50062-2024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45600</v>
      </c>
      <c r="E703" s="1" t="n">
        <v>46284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46284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45862</v>
      </c>
      <c r="E705" s="1" t="n">
        <v>46284</v>
      </c>
      <c r="F705" t="inlineStr">
        <is>
          <t>VÄSTRA GÖTALANDS LÄN</t>
        </is>
      </c>
      <c r="G705" t="inlineStr">
        <is>
          <t>ULRICEHAMN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45866</v>
      </c>
      <c r="E706" s="1" t="n">
        <v>46284</v>
      </c>
      <c r="F706" t="inlineStr">
        <is>
          <t>VÄSTRA GÖTALANDS LÄN</t>
        </is>
      </c>
      <c r="G706" t="inlineStr">
        <is>
          <t>ULRICEHAMN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46284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36305-2025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45868</v>
      </c>
      <c r="E708" s="1" t="n">
        <v>46284</v>
      </c>
      <c r="F708" t="inlineStr">
        <is>
          <t>VÄSTRA GÖTALANDS LÄN</t>
        </is>
      </c>
      <c r="G708" t="inlineStr">
        <is>
          <t>ULRICEHAMN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37560-2025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45880</v>
      </c>
      <c r="E709" s="1" t="n">
        <v>46284</v>
      </c>
      <c r="F709" t="inlineStr">
        <is>
          <t>VÄSTRA GÖTALANDS LÄN</t>
        </is>
      </c>
      <c r="G709" t="inlineStr">
        <is>
          <t>ULRICEHAMN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46284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46284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5926-2022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44854</v>
      </c>
      <c r="E712" s="1" t="n">
        <v>46284</v>
      </c>
      <c r="F712" t="inlineStr">
        <is>
          <t>VÄSTRA GÖTALANDS LÄN</t>
        </is>
      </c>
      <c r="G712" t="inlineStr">
        <is>
          <t>ULRICEHAMN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4202-2022</t>
        </is>
      </c>
      <c r="B713" t="inlineStr">
        <is>
          <t>samrådsanmälan</t>
        </is>
      </c>
      <c r="C713" t="inlineStr">
        <is>
          <t>Åtgärd i nyckelbiotop</t>
        </is>
      </c>
      <c r="D713" s="1" t="n">
        <v>44771</v>
      </c>
      <c r="E713" s="1" t="n">
        <v>46284</v>
      </c>
      <c r="F713" t="inlineStr">
        <is>
          <t>VÄSTRA GÖTALANDS LÄN</t>
        </is>
      </c>
      <c r="G713" t="inlineStr">
        <is>
          <t>ULRICEHAMN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7380-2021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44470</v>
      </c>
      <c r="E714" s="1" t="n">
        <v>46284</v>
      </c>
      <c r="F714" t="inlineStr">
        <is>
          <t>VÄSTRA GÖTALANDS LÄN</t>
        </is>
      </c>
      <c r="G714" t="inlineStr">
        <is>
          <t>ULRICEHAMN</t>
        </is>
      </c>
      <c r="I714" t="n">
        <v>15.7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2913-2023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45169</v>
      </c>
      <c r="E715" s="1" t="n">
        <v>46284</v>
      </c>
      <c r="F715" t="inlineStr">
        <is>
          <t>VÄSTRA GÖTALANDS LÄN</t>
        </is>
      </c>
      <c r="G715" t="inlineStr">
        <is>
          <t>ULRICEHAMN</t>
        </is>
      </c>
      <c r="I715" t="n">
        <v>32.7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3864-2022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44747</v>
      </c>
      <c r="E716" s="1" t="n">
        <v>46284</v>
      </c>
      <c r="F716" t="inlineStr">
        <is>
          <t>VÄSTRA GÖTALANDS LÄN</t>
        </is>
      </c>
      <c r="G716" t="inlineStr">
        <is>
          <t>ULRICEHAMN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425-2023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44960</v>
      </c>
      <c r="E717" s="1" t="n">
        <v>46284</v>
      </c>
      <c r="F717" t="inlineStr">
        <is>
          <t>VÄSTRA GÖTALANDS LÄN</t>
        </is>
      </c>
      <c r="G717" t="inlineStr">
        <is>
          <t>ULRICEHAMN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8871-2021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44503</v>
      </c>
      <c r="E718" s="1" t="n">
        <v>46284</v>
      </c>
      <c r="F718" t="inlineStr">
        <is>
          <t>VÄSTRA GÖTALANDS LÄN</t>
        </is>
      </c>
      <c r="G718" t="inlineStr">
        <is>
          <t>ULRICEHAMN</t>
        </is>
      </c>
      <c r="I718" t="n">
        <v>53.1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621-2025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45714</v>
      </c>
      <c r="E719" s="1" t="n">
        <v>46284</v>
      </c>
      <c r="F719" t="inlineStr">
        <is>
          <t>VÄSTRA GÖTALANDS LÄN</t>
        </is>
      </c>
      <c r="G719" t="inlineStr">
        <is>
          <t>ULRICEHAMN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2904-2023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45171</v>
      </c>
      <c r="E720" s="1" t="n">
        <v>46284</v>
      </c>
      <c r="F720" t="inlineStr">
        <is>
          <t>VÄSTRA GÖTALANDS LÄN</t>
        </is>
      </c>
      <c r="G720" t="inlineStr">
        <is>
          <t>ULRICEHAMN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385-2026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46066</v>
      </c>
      <c r="E721" s="1" t="n">
        <v>46284</v>
      </c>
      <c r="F721" t="inlineStr">
        <is>
          <t>VÄSTRA GÖTALANDS LÄN</t>
        </is>
      </c>
      <c r="G721" t="inlineStr">
        <is>
          <t>ULRICEHAMN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2026-09-19T02:03:38Z</dcterms:created>
  <dcterms:modified xmlns:dcterms="http://purl.org/dc/terms/" xmlns:xsi="http://www.w3.org/2001/XMLSchema-instance" xsi:type="dcterms:W3CDTF">2026-09-19T02:03:39Z</dcterms:modified>
</cp:coreProperties>
</file>