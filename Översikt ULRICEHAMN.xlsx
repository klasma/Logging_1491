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46291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46291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46291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46291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46291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46291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46291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46291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46291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46291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46291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46291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40397-2025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45895</v>
      </c>
      <c r="E18" s="1" t="n">
        <v>46291</v>
      </c>
      <c r="F18" t="inlineStr">
        <is>
          <t>VÄSTRA GÖTALANDS LÄN</t>
        </is>
      </c>
      <c r="G18" t="inlineStr">
        <is>
          <t>ULRICEHAMN</t>
        </is>
      </c>
      <c r="I18" t="n">
        <v>3.9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HYPERLINK("https://klasma.github.io/Logging_1491/artfynd/A 40397-2025 artfynd.xlsx", "A 40397-2025")</f>
        <v/>
      </c>
      <c r="X18">
        <f>HYPERLINK("https://klasma.github.io/Logging_1491/kartor/A 40397-2025 karta.png", "A 40397-2025")</f>
        <v/>
      </c>
      <c r="Y18">
        <f>HYPERLINK("https://klasma.github.io/Logging_1491/kartor_geotiff/A 40397-2025 georefererad karta.tif", "A 40397-2025")</f>
        <v/>
      </c>
      <c r="AA18">
        <f>HYPERLINK("https://klasma.github.io/Logging_1491/klagomål/A 40397-2025 FSC-klagomål.docx", "A 40397-2025")</f>
        <v/>
      </c>
      <c r="AB18">
        <f>HYPERLINK("https://klasma.github.io/Logging_1491/klagomålsmail/A 40397-2025 FSC-klagomål mail.docx", "A 40397-2025")</f>
        <v/>
      </c>
      <c r="AC18">
        <f>HYPERLINK("https://klasma.github.io/Logging_1491/tillsyn/A 40397-2025 tillsynsbegäran.docx", "A 40397-2025")</f>
        <v/>
      </c>
      <c r="AD18">
        <f>HYPERLINK("https://klasma.github.io/Logging_1491/tillsynsmail/A 40397-2025 tillsynsbegäran mail.docx", "A 40397-2025")</f>
        <v/>
      </c>
    </row>
    <row r="19" ht="15" customHeight="1">
      <c r="A19" t="inlineStr">
        <is>
          <t>A 6804-2026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46291</v>
      </c>
      <c r="F19" t="inlineStr">
        <is>
          <t>VÄSTRA GÖTALANDS LÄN</t>
        </is>
      </c>
      <c r="G19" t="inlineStr">
        <is>
          <t>ULRICEHAMN</t>
        </is>
      </c>
      <c r="I19" t="n">
        <v>8.9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HYPERLINK("https://klasma.github.io/Logging_1491/artfynd/A 6804-2026 artfynd.xlsx", "A 6804-2026")</f>
        <v/>
      </c>
      <c r="X19">
        <f>HYPERLINK("https://klasma.github.io/Logging_1491/kartor/A 6804-2026 karta.png", "A 6804-2026")</f>
        <v/>
      </c>
      <c r="Y19">
        <f>HYPERLINK("https://klasma.github.io/Logging_1491/kartor_geotiff/A 6804-2026 georefererad karta.tif", "A 6804-2026")</f>
        <v/>
      </c>
      <c r="AA19">
        <f>HYPERLINK("https://klasma.github.io/Logging_1491/klagomål/A 6804-2026 FSC-klagomål.docx", "A 6804-2026")</f>
        <v/>
      </c>
      <c r="AB19">
        <f>HYPERLINK("https://klasma.github.io/Logging_1491/klagomålsmail/A 6804-2026 FSC-klagomål mail.docx", "A 6804-2026")</f>
        <v/>
      </c>
      <c r="AC19">
        <f>HYPERLINK("https://klasma.github.io/Logging_1491/tillsyn/A 6804-2026 tillsynsbegäran.docx", "A 6804-2026")</f>
        <v/>
      </c>
      <c r="AD19">
        <f>HYPERLINK("https://klasma.github.io/Logging_1491/tillsynsmail/A 6804-2026 tillsynsbegäran mail.docx", "A 6804-2026")</f>
        <v/>
      </c>
    </row>
    <row r="20" ht="15" customHeight="1">
      <c r="A20" t="inlineStr">
        <is>
          <t>A 9906-2026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46291</v>
      </c>
      <c r="F20" t="inlineStr">
        <is>
          <t>VÄSTRA GÖTALANDS LÄN</t>
        </is>
      </c>
      <c r="G20" t="inlineStr">
        <is>
          <t>ULRICEHAMN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HYPERLINK("https://klasma.github.io/Logging_1491/artfynd/A 9906-2026 artfynd.xlsx", "A 9906-2026")</f>
        <v/>
      </c>
      <c r="X20">
        <f>HYPERLINK("https://klasma.github.io/Logging_1491/kartor/A 9906-2026 karta.png", "A 9906-2026")</f>
        <v/>
      </c>
      <c r="Y20">
        <f>HYPERLINK("https://klasma.github.io/Logging_1491/kartor_geotiff/A 9906-2026 georefererad karta.tif", "A 9906-2026")</f>
        <v/>
      </c>
      <c r="AA20">
        <f>HYPERLINK("https://klasma.github.io/Logging_1491/klagomål/A 9906-2026 FSC-klagomål.docx", "A 9906-2026")</f>
        <v/>
      </c>
      <c r="AB20">
        <f>HYPERLINK("https://klasma.github.io/Logging_1491/klagomålsmail/A 9906-2026 FSC-klagomål mail.docx", "A 9906-2026")</f>
        <v/>
      </c>
      <c r="AC20">
        <f>HYPERLINK("https://klasma.github.io/Logging_1491/tillsyn/A 9906-2026 tillsynsbegäran.docx", "A 9906-2026")</f>
        <v/>
      </c>
      <c r="AD20">
        <f>HYPERLINK("https://klasma.github.io/Logging_1491/tillsynsmail/A 9906-2026 tillsynsbegäran mail.docx", "A 9906-2026")</f>
        <v/>
      </c>
      <c r="AE20">
        <f>HYPERLINK("https://klasma.github.io/Logging_1491/fåglar/A 9906-2026 prioriterade fågelarter.docx", "A 9906-2026")</f>
        <v/>
      </c>
    </row>
    <row r="21" ht="15" customHeight="1">
      <c r="A21" t="inlineStr">
        <is>
          <t>A 26380-2025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46291</v>
      </c>
      <c r="F21" t="inlineStr">
        <is>
          <t>VÄSTRA GÖTALANDS LÄN</t>
        </is>
      </c>
      <c r="G21" t="inlineStr">
        <is>
          <t>ULRICEHAMN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26380-2025 artfynd.xlsx", "A 26380-2025")</f>
        <v/>
      </c>
      <c r="X21">
        <f>HYPERLINK("https://klasma.github.io/Logging_1491/kartor/A 26380-2025 karta.png", "A 26380-2025")</f>
        <v/>
      </c>
      <c r="Y21">
        <f>HYPERLINK("https://klasma.github.io/Logging_1491/kartor_geotiff/A 26380-2025 georefererad karta.tif", "A 26380-2025")</f>
        <v/>
      </c>
      <c r="AA21">
        <f>HYPERLINK("https://klasma.github.io/Logging_1491/klagomål/A 26380-2025 FSC-klagomål.docx", "A 26380-2025")</f>
        <v/>
      </c>
      <c r="AB21">
        <f>HYPERLINK("https://klasma.github.io/Logging_1491/klagomålsmail/A 26380-2025 FSC-klagomål mail.docx", "A 26380-2025")</f>
        <v/>
      </c>
      <c r="AC21">
        <f>HYPERLINK("https://klasma.github.io/Logging_1491/tillsyn/A 26380-2025 tillsynsbegäran.docx", "A 26380-2025")</f>
        <v/>
      </c>
      <c r="AD21">
        <f>HYPERLINK("https://klasma.github.io/Logging_1491/tillsynsmail/A 26380-2025 tillsynsbegäran mail.docx", "A 26380-2025")</f>
        <v/>
      </c>
      <c r="AE21">
        <f>HYPERLINK("https://klasma.github.io/Logging_1491/fåglar/A 26380-2025 prioriterade fågelarter.docx", "A 26380-2025")</f>
        <v/>
      </c>
    </row>
    <row r="22" ht="15" customHeight="1">
      <c r="A22" t="inlineStr">
        <is>
          <t>A 26381-2025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45806</v>
      </c>
      <c r="E22" s="1" t="n">
        <v>46291</v>
      </c>
      <c r="F22" t="inlineStr">
        <is>
          <t>VÄSTRA GÖTALANDS LÄN</t>
        </is>
      </c>
      <c r="G22" t="inlineStr">
        <is>
          <t>ULRICEHAMN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26381-2025 artfynd.xlsx", "A 26381-2025")</f>
        <v/>
      </c>
      <c r="X22">
        <f>HYPERLINK("https://klasma.github.io/Logging_1491/kartor/A 26381-2025 karta.png", "A 26381-2025")</f>
        <v/>
      </c>
      <c r="Y22">
        <f>HYPERLINK("https://klasma.github.io/Logging_1491/kartor_geotiff/A 26381-2025 georefererad karta.tif", "A 26381-2025")</f>
        <v/>
      </c>
      <c r="AA22">
        <f>HYPERLINK("https://klasma.github.io/Logging_1491/klagomål/A 26381-2025 FSC-klagomål.docx", "A 26381-2025")</f>
        <v/>
      </c>
      <c r="AB22">
        <f>HYPERLINK("https://klasma.github.io/Logging_1491/klagomålsmail/A 26381-2025 FSC-klagomål mail.docx", "A 26381-2025")</f>
        <v/>
      </c>
      <c r="AC22">
        <f>HYPERLINK("https://klasma.github.io/Logging_1491/tillsyn/A 26381-2025 tillsynsbegäran.docx", "A 26381-2025")</f>
        <v/>
      </c>
      <c r="AD22">
        <f>HYPERLINK("https://klasma.github.io/Logging_1491/tillsynsmail/A 26381-2025 tillsynsbegäran mail.docx", "A 26381-2025")</f>
        <v/>
      </c>
      <c r="AE22">
        <f>HYPERLINK("https://klasma.github.io/Logging_1491/fåglar/A 26381-2025 prioriterade fågelarter.docx", "A 26381-2025")</f>
        <v/>
      </c>
    </row>
    <row r="23" ht="15" customHeight="1">
      <c r="A23" t="inlineStr">
        <is>
          <t>A 13789-2026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46097</v>
      </c>
      <c r="E23" s="1" t="n">
        <v>46291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Sveaskog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HYPERLINK("https://klasma.github.io/Logging_1491/artfynd/A 13789-2026 artfynd.xlsx", "A 13789-2026")</f>
        <v/>
      </c>
      <c r="X23">
        <f>HYPERLINK("https://klasma.github.io/Logging_1491/kartor/A 13789-2026 karta.png", "A 13789-2026")</f>
        <v/>
      </c>
      <c r="Y23">
        <f>HYPERLINK("https://klasma.github.io/Logging_1491/kartor_geotiff/A 13789-2026 georefererad karta.tif", "A 13789-2026")</f>
        <v/>
      </c>
      <c r="AA23">
        <f>HYPERLINK("https://klasma.github.io/Logging_1491/klagomål/A 13789-2026 FSC-klagomål.docx", "A 13789-2026")</f>
        <v/>
      </c>
      <c r="AB23">
        <f>HYPERLINK("https://klasma.github.io/Logging_1491/klagomålsmail/A 13789-2026 FSC-klagomål mail.docx", "A 13789-2026")</f>
        <v/>
      </c>
      <c r="AC23">
        <f>HYPERLINK("https://klasma.github.io/Logging_1491/tillsyn/A 13789-2026 tillsynsbegäran.docx", "A 13789-2026")</f>
        <v/>
      </c>
      <c r="AD23">
        <f>HYPERLINK("https://klasma.github.io/Logging_1491/tillsynsmail/A 13789-2026 tillsynsbegäran mail.docx", "A 13789-2026")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46291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16158-2026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46109</v>
      </c>
      <c r="E25" s="1" t="n">
        <v>46291</v>
      </c>
      <c r="F25" t="inlineStr">
        <is>
          <t>VÄSTRA GÖTALANDS LÄN</t>
        </is>
      </c>
      <c r="G25" t="inlineStr">
        <is>
          <t>ULRICEHAMN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Hässleklocka</t>
        </is>
      </c>
      <c r="W25">
        <f>HYPERLINK("https://klasma.github.io/Logging_1491/artfynd/A 16158-2026 artfynd.xlsx", "A 16158-2026")</f>
        <v/>
      </c>
      <c r="X25">
        <f>HYPERLINK("https://klasma.github.io/Logging_1491/kartor/A 16158-2026 karta.png", "A 16158-2026")</f>
        <v/>
      </c>
      <c r="Y25">
        <f>HYPERLINK("https://klasma.github.io/Logging_1491/kartor_geotiff/A 16158-2026 georefererad karta.tif", "A 16158-2026")</f>
        <v/>
      </c>
      <c r="AA25">
        <f>HYPERLINK("https://klasma.github.io/Logging_1491/klagomål/A 16158-2026 FSC-klagomål.docx", "A 16158-2026")</f>
        <v/>
      </c>
      <c r="AB25">
        <f>HYPERLINK("https://klasma.github.io/Logging_1491/klagomålsmail/A 16158-2026 FSC-klagomål mail.docx", "A 16158-2026")</f>
        <v/>
      </c>
      <c r="AC25">
        <f>HYPERLINK("https://klasma.github.io/Logging_1491/tillsyn/A 16158-2026 tillsynsbegäran.docx", "A 16158-2026")</f>
        <v/>
      </c>
      <c r="AD25">
        <f>HYPERLINK("https://klasma.github.io/Logging_1491/tillsynsmail/A 16158-2026 tillsynsbegäran mail.docx", "A 16158-2026")</f>
        <v/>
      </c>
    </row>
    <row r="26" ht="15" customHeight="1">
      <c r="A26" t="inlineStr">
        <is>
          <t>A 51137-2024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45603</v>
      </c>
      <c r="E26" s="1" t="n">
        <v>46291</v>
      </c>
      <c r="F26" t="inlineStr">
        <is>
          <t>VÄSTRA GÖTALANDS LÄN</t>
        </is>
      </c>
      <c r="G26" t="inlineStr">
        <is>
          <t>ULRICEHAMN</t>
        </is>
      </c>
      <c r="I26" t="n">
        <v>2.8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Fällmossa</t>
        </is>
      </c>
      <c r="W26">
        <f>HYPERLINK("https://klasma.github.io/Logging_1491/artfynd/A 51137-2024 artfynd.xlsx", "A 51137-2024")</f>
        <v/>
      </c>
      <c r="X26">
        <f>HYPERLINK("https://klasma.github.io/Logging_1491/kartor/A 51137-2024 karta.png", "A 51137-2024")</f>
        <v/>
      </c>
      <c r="Y26">
        <f>HYPERLINK("https://klasma.github.io/Logging_1491/kartor_geotiff/A 51137-2024 georefererad karta.tif", "A 51137-2024")</f>
        <v/>
      </c>
      <c r="AA26">
        <f>HYPERLINK("https://klasma.github.io/Logging_1491/klagomål/A 51137-2024 FSC-klagomål.docx", "A 51137-2024")</f>
        <v/>
      </c>
      <c r="AB26">
        <f>HYPERLINK("https://klasma.github.io/Logging_1491/klagomålsmail/A 51137-2024 FSC-klagomål mail.docx", "A 51137-2024")</f>
        <v/>
      </c>
      <c r="AC26">
        <f>HYPERLINK("https://klasma.github.io/Logging_1491/tillsyn/A 51137-2024 tillsynsbegäran.docx", "A 51137-2024")</f>
        <v/>
      </c>
      <c r="AD26">
        <f>HYPERLINK("https://klasma.github.io/Logging_1491/tillsynsmail/A 51137-2024 tillsynsbegäran mail.docx", "A 51137-2024")</f>
        <v/>
      </c>
    </row>
    <row r="27" ht="15" customHeight="1">
      <c r="A27" t="inlineStr">
        <is>
          <t>A 73932-2021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44553</v>
      </c>
      <c r="E27" s="1" t="n">
        <v>46291</v>
      </c>
      <c r="F27" t="inlineStr">
        <is>
          <t>VÄSTRA GÖTALANDS LÄN</t>
        </is>
      </c>
      <c r="G27" t="inlineStr">
        <is>
          <t>ULRICEHAMN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Backsippa</t>
        </is>
      </c>
      <c r="W27">
        <f>HYPERLINK("https://klasma.github.io/Logging_1491/artfynd/A 73932-2021 artfynd.xlsx", "A 73932-2021")</f>
        <v/>
      </c>
      <c r="X27">
        <f>HYPERLINK("https://klasma.github.io/Logging_1491/kartor/A 73932-2021 karta.png", "A 73932-2021")</f>
        <v/>
      </c>
      <c r="Y27">
        <f>HYPERLINK("https://klasma.github.io/Logging_1491/kartor_geotiff/A 73932-2021 georefererad karta.tif", "A 73932-2021")</f>
        <v/>
      </c>
      <c r="AA27">
        <f>HYPERLINK("https://klasma.github.io/Logging_1491/klagomål/A 73932-2021 FSC-klagomål.docx", "A 73932-2021")</f>
        <v/>
      </c>
      <c r="AB27">
        <f>HYPERLINK("https://klasma.github.io/Logging_1491/klagomålsmail/A 73932-2021 FSC-klagomål mail.docx", "A 73932-2021")</f>
        <v/>
      </c>
      <c r="AC27">
        <f>HYPERLINK("https://klasma.github.io/Logging_1491/tillsyn/A 73932-2021 tillsynsbegäran.docx", "A 73932-2021")</f>
        <v/>
      </c>
      <c r="AD27">
        <f>HYPERLINK("https://klasma.github.io/Logging_1491/tillsynsmail/A 73932-2021 tillsynsbegäran mail.docx", "A 73932-2021")</f>
        <v/>
      </c>
    </row>
    <row r="28" ht="15" customHeight="1">
      <c r="A28" t="inlineStr">
        <is>
          <t>A 7347-2023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44971</v>
      </c>
      <c r="E28" s="1" t="n">
        <v>46291</v>
      </c>
      <c r="F28" t="inlineStr">
        <is>
          <t>VÄSTRA GÖTALANDS LÄN</t>
        </is>
      </c>
      <c r="G28" t="inlineStr">
        <is>
          <t>ULRICEHAMN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HYPERLINK("https://klasma.github.io/Logging_1491/artfynd/A 7347-2023 artfynd.xlsx", "A 7347-2023")</f>
        <v/>
      </c>
      <c r="X28">
        <f>HYPERLINK("https://klasma.github.io/Logging_1491/kartor/A 7347-2023 karta.png", "A 7347-2023")</f>
        <v/>
      </c>
      <c r="Y28">
        <f>HYPERLINK("https://klasma.github.io/Logging_1491/kartor_geotiff/A 7347-2023 georefererad karta.tif", "A 7347-2023")</f>
        <v/>
      </c>
      <c r="AA28">
        <f>HYPERLINK("https://klasma.github.io/Logging_1491/klagomål/A 7347-2023 FSC-klagomål.docx", "A 7347-2023")</f>
        <v/>
      </c>
      <c r="AB28">
        <f>HYPERLINK("https://klasma.github.io/Logging_1491/klagomålsmail/A 7347-2023 FSC-klagomål mail.docx", "A 7347-2023")</f>
        <v/>
      </c>
      <c r="AC28">
        <f>HYPERLINK("https://klasma.github.io/Logging_1491/tillsyn/A 7347-2023 tillsynsbegäran.docx", "A 7347-2023")</f>
        <v/>
      </c>
      <c r="AD28">
        <f>HYPERLINK("https://klasma.github.io/Logging_1491/tillsynsmail/A 7347-2023 tillsynsbegäran mail.docx", "A 7347-2023")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46291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46291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46291</v>
      </c>
      <c r="F31" t="inlineStr">
        <is>
          <t>VÄSTRA GÖTALANDS LÄN</t>
        </is>
      </c>
      <c r="G31" t="inlineStr">
        <is>
          <t>ULRICEHAMN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HYPERLINK("https://klasma.github.io/Logging_1491/artfynd/A 61536-2025 artfynd.xlsx", "A 61536-2025")</f>
        <v/>
      </c>
      <c r="X31">
        <f>HYPERLINK("https://klasma.github.io/Logging_1491/kartor/A 61536-2025 karta.png", "A 61536-2025")</f>
        <v/>
      </c>
      <c r="Y31">
        <f>HYPERLINK("https://klasma.github.io/Logging_1491/kartor_geotiff/A 61536-2025 georefererad karta.tif", "A 61536-2025")</f>
        <v/>
      </c>
      <c r="AA31">
        <f>HYPERLINK("https://klasma.github.io/Logging_1491/klagomål/A 61536-2025 FSC-klagomål.docx", "A 61536-2025")</f>
        <v/>
      </c>
      <c r="AB31">
        <f>HYPERLINK("https://klasma.github.io/Logging_1491/klagomålsmail/A 61536-2025 FSC-klagomål mail.docx", "A 61536-2025")</f>
        <v/>
      </c>
      <c r="AC31">
        <f>HYPERLINK("https://klasma.github.io/Logging_1491/tillsyn/A 61536-2025 tillsynsbegäran.docx", "A 61536-2025")</f>
        <v/>
      </c>
      <c r="AD31">
        <f>HYPERLINK("https://klasma.github.io/Logging_1491/tillsynsmail/A 61536-2025 tillsynsbegäran mail.docx", "A 61536-2025")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46291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8055-2024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46291</v>
      </c>
      <c r="F33" t="inlineStr">
        <is>
          <t>VÄSTRA GÖTALANDS LÄN</t>
        </is>
      </c>
      <c r="G33" t="inlineStr">
        <is>
          <t>ULRICEHAMN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8055-2024 artfynd.xlsx", "A 8055-2024")</f>
        <v/>
      </c>
      <c r="X33">
        <f>HYPERLINK("https://klasma.github.io/Logging_1491/kartor/A 8055-2024 karta.png", "A 8055-2024")</f>
        <v/>
      </c>
      <c r="Y33">
        <f>HYPERLINK("https://klasma.github.io/Logging_1491/kartor_geotiff/A 8055-2024 georefererad karta.tif", "A 8055-2024")</f>
        <v/>
      </c>
      <c r="AA33">
        <f>HYPERLINK("https://klasma.github.io/Logging_1491/klagomål/A 8055-2024 FSC-klagomål.docx", "A 8055-2024")</f>
        <v/>
      </c>
      <c r="AB33">
        <f>HYPERLINK("https://klasma.github.io/Logging_1491/klagomålsmail/A 8055-2024 FSC-klagomål mail.docx", "A 8055-2024")</f>
        <v/>
      </c>
      <c r="AC33">
        <f>HYPERLINK("https://klasma.github.io/Logging_1491/tillsyn/A 8055-2024 tillsynsbegäran.docx", "A 8055-2024")</f>
        <v/>
      </c>
      <c r="AD33">
        <f>HYPERLINK("https://klasma.github.io/Logging_1491/tillsynsmail/A 8055-2024 tillsynsbegäran mail.docx", "A 8055-2024")</f>
        <v/>
      </c>
    </row>
    <row r="34" ht="15" customHeight="1">
      <c r="A34" t="inlineStr">
        <is>
          <t>A 37238-2025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46291</v>
      </c>
      <c r="F34" t="inlineStr">
        <is>
          <t>VÄSTRA GÖTALANDS LÄN</t>
        </is>
      </c>
      <c r="G34" t="inlineStr">
        <is>
          <t>ULRICEHAMN</t>
        </is>
      </c>
      <c r="I34" t="n">
        <v>7.6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37238-2025 artfynd.xlsx", "A 37238-2025")</f>
        <v/>
      </c>
      <c r="X34">
        <f>HYPERLINK("https://klasma.github.io/Logging_1491/kartor/A 37238-2025 karta.png", "A 37238-2025")</f>
        <v/>
      </c>
      <c r="Y34">
        <f>HYPERLINK("https://klasma.github.io/Logging_1491/kartor_geotiff/A 37238-2025 georefererad karta.tif", "A 37238-2025")</f>
        <v/>
      </c>
      <c r="AA34">
        <f>HYPERLINK("https://klasma.github.io/Logging_1491/klagomål/A 37238-2025 FSC-klagomål.docx", "A 37238-2025")</f>
        <v/>
      </c>
      <c r="AB34">
        <f>HYPERLINK("https://klasma.github.io/Logging_1491/klagomålsmail/A 37238-2025 FSC-klagomål mail.docx", "A 37238-2025")</f>
        <v/>
      </c>
      <c r="AC34">
        <f>HYPERLINK("https://klasma.github.io/Logging_1491/tillsyn/A 37238-2025 tillsynsbegäran.docx", "A 37238-2025")</f>
        <v/>
      </c>
      <c r="AD34">
        <f>HYPERLINK("https://klasma.github.io/Logging_1491/tillsynsmail/A 37238-2025 tillsynsbegäran mail.docx", "A 37238-2025")</f>
        <v/>
      </c>
    </row>
    <row r="35" ht="15" customHeight="1">
      <c r="A35" t="inlineStr">
        <is>
          <t>A 61199-2023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46291</v>
      </c>
      <c r="F35" t="inlineStr">
        <is>
          <t>VÄSTRA GÖTALANDS LÄN</t>
        </is>
      </c>
      <c r="G35" t="inlineStr">
        <is>
          <t>ULRICEHAMN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8</v>
      </c>
      <c r="U35" t="n">
        <v>0</v>
      </c>
      <c r="V35" s="2" t="inlineStr">
        <is>
          <t>Ask</t>
        </is>
      </c>
      <c r="W35">
        <f>HYPERLINK("https://klasma.github.io/Logging_1491/artfynd/A 61199-2023 artfynd.xlsx", "A 61199-2023")</f>
        <v/>
      </c>
      <c r="X35">
        <f>HYPERLINK("https://klasma.github.io/Logging_1491/kartor/A 61199-2023 karta.png", "A 61199-2023")</f>
        <v/>
      </c>
      <c r="Y35">
        <f>HYPERLINK("https://klasma.github.io/Logging_1491/kartor_geotiff/A 61199-2023 georefererad karta.tif", "A 61199-2023")</f>
        <v/>
      </c>
      <c r="AA35">
        <f>HYPERLINK("https://klasma.github.io/Logging_1491/klagomål/A 61199-2023 FSC-klagomål.docx", "A 61199-2023")</f>
        <v/>
      </c>
      <c r="AB35">
        <f>HYPERLINK("https://klasma.github.io/Logging_1491/klagomålsmail/A 61199-2023 FSC-klagomål mail.docx", "A 61199-2023")</f>
        <v/>
      </c>
      <c r="AC35">
        <f>HYPERLINK("https://klasma.github.io/Logging_1491/tillsyn/A 61199-2023 tillsynsbegäran.docx", "A 61199-2023")</f>
        <v/>
      </c>
      <c r="AD35">
        <f>HYPERLINK("https://klasma.github.io/Logging_1491/tillsynsmail/A 61199-2023 tillsynsbegäran mail.docx", "A 61199-2023")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46291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46291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46291</v>
      </c>
      <c r="F38" t="inlineStr">
        <is>
          <t>VÄSTRA GÖTALANDS LÄN</t>
        </is>
      </c>
      <c r="G38" t="inlineStr">
        <is>
          <t>ULRICEHAMN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Gulvaxing</t>
        </is>
      </c>
      <c r="W38">
        <f>HYPERLINK("https://klasma.github.io/Logging_1491/artfynd/A 33885-2023 artfynd.xlsx", "A 33885-2023")</f>
        <v/>
      </c>
      <c r="X38">
        <f>HYPERLINK("https://klasma.github.io/Logging_1491/kartor/A 33885-2023 karta.png", "A 33885-2023")</f>
        <v/>
      </c>
      <c r="Y38">
        <f>HYPERLINK("https://klasma.github.io/Logging_1491/kartor_geotiff/A 33885-2023 georefererad karta.tif", "A 33885-2023")</f>
        <v/>
      </c>
      <c r="AA38">
        <f>HYPERLINK("https://klasma.github.io/Logging_1491/klagomål/A 33885-2023 FSC-klagomål.docx", "A 33885-2023")</f>
        <v/>
      </c>
      <c r="AB38">
        <f>HYPERLINK("https://klasma.github.io/Logging_1491/klagomålsmail/A 33885-2023 FSC-klagomål mail.docx", "A 33885-2023")</f>
        <v/>
      </c>
      <c r="AC38">
        <f>HYPERLINK("https://klasma.github.io/Logging_1491/tillsyn/A 33885-2023 tillsynsbegäran.docx", "A 33885-2023")</f>
        <v/>
      </c>
      <c r="AD38">
        <f>HYPERLINK("https://klasma.github.io/Logging_1491/tillsynsmail/A 33885-2023 tillsynsbegäran mail.docx", "A 33885-2023")</f>
        <v/>
      </c>
    </row>
    <row r="39" ht="15" customHeight="1">
      <c r="A39" t="inlineStr">
        <is>
          <t>A 31199-2026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46217</v>
      </c>
      <c r="E39" s="1" t="n">
        <v>46291</v>
      </c>
      <c r="F39" t="inlineStr">
        <is>
          <t>VÄSTRA GÖTALANDS LÄN</t>
        </is>
      </c>
      <c r="G39" t="inlineStr">
        <is>
          <t>ULRICEHAMN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HYPERLINK("https://klasma.github.io/Logging_1491/artfynd/A 31199-2026 artfynd.xlsx", "A 31199-2026")</f>
        <v/>
      </c>
      <c r="X39">
        <f>HYPERLINK("https://klasma.github.io/Logging_1491/kartor/A 31199-2026 karta.png", "A 31199-2026")</f>
        <v/>
      </c>
      <c r="Y39">
        <f>HYPERLINK("https://klasma.github.io/Logging_1491/kartor_geotiff/A 31199-2026 georefererad karta.tif", "A 31199-2026")</f>
        <v/>
      </c>
      <c r="AA39">
        <f>HYPERLINK("https://klasma.github.io/Logging_1491/klagomål/A 31199-2026 FSC-klagomål.docx", "A 31199-2026")</f>
        <v/>
      </c>
      <c r="AB39">
        <f>HYPERLINK("https://klasma.github.io/Logging_1491/klagomålsmail/A 31199-2026 FSC-klagomål mail.docx", "A 31199-2026")</f>
        <v/>
      </c>
      <c r="AC39">
        <f>HYPERLINK("https://klasma.github.io/Logging_1491/tillsyn/A 31199-2026 tillsynsbegäran.docx", "A 31199-2026")</f>
        <v/>
      </c>
      <c r="AD39">
        <f>HYPERLINK("https://klasma.github.io/Logging_1491/tillsynsmail/A 31199-2026 tillsynsbegäran mail.docx", "A 31199-2026")</f>
        <v/>
      </c>
    </row>
    <row r="40" ht="15" customHeight="1">
      <c r="A40" t="inlineStr">
        <is>
          <t>A 31539-2026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46291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11.9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HYPERLINK("https://klasma.github.io/Logging_1491/artfynd/A 31539-2026 artfynd.xlsx", "A 31539-2026")</f>
        <v/>
      </c>
      <c r="X40">
        <f>HYPERLINK("https://klasma.github.io/Logging_1491/kartor/A 31539-2026 karta.png", "A 31539-2026")</f>
        <v/>
      </c>
      <c r="Y40">
        <f>HYPERLINK("https://klasma.github.io/Logging_1491/kartor_geotiff/A 31539-2026 georefererad karta.tif", "A 31539-2026")</f>
        <v/>
      </c>
      <c r="AA40">
        <f>HYPERLINK("https://klasma.github.io/Logging_1491/klagomål/A 31539-2026 FSC-klagomål.docx", "A 31539-2026")</f>
        <v/>
      </c>
      <c r="AB40">
        <f>HYPERLINK("https://klasma.github.io/Logging_1491/klagomålsmail/A 31539-2026 FSC-klagomål mail.docx", "A 31539-2026")</f>
        <v/>
      </c>
      <c r="AC40">
        <f>HYPERLINK("https://klasma.github.io/Logging_1491/tillsyn/A 31539-2026 tillsynsbegäran.docx", "A 31539-2026")</f>
        <v/>
      </c>
      <c r="AD40">
        <f>HYPERLINK("https://klasma.github.io/Logging_1491/tillsynsmail/A 31539-2026 tillsynsbegäran mail.docx", "A 31539-2026")</f>
        <v/>
      </c>
    </row>
    <row r="41" ht="15" customHeight="1">
      <c r="A41" t="inlineStr">
        <is>
          <t>A 2626-2025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45675</v>
      </c>
      <c r="E41" s="1" t="n">
        <v>46291</v>
      </c>
      <c r="F41" t="inlineStr">
        <is>
          <t>VÄSTRA GÖTALANDS LÄN</t>
        </is>
      </c>
      <c r="G41" t="inlineStr">
        <is>
          <t>ULRICEHAMN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Flodpärlmussla</t>
        </is>
      </c>
      <c r="W41">
        <f>HYPERLINK("https://klasma.github.io/Logging_1491/artfynd/A 2626-2025 artfynd.xlsx", "A 2626-2025")</f>
        <v/>
      </c>
      <c r="X41">
        <f>HYPERLINK("https://klasma.github.io/Logging_1491/kartor/A 2626-2025 karta.png", "A 2626-2025")</f>
        <v/>
      </c>
      <c r="Y41">
        <f>HYPERLINK("https://klasma.github.io/Logging_1491/kartor_geotiff/A 2626-2025 georefererad karta.tif", "A 2626-2025")</f>
        <v/>
      </c>
      <c r="AA41">
        <f>HYPERLINK("https://klasma.github.io/Logging_1491/klagomål/A 2626-2025 FSC-klagomål.docx", "A 2626-2025")</f>
        <v/>
      </c>
      <c r="AB41">
        <f>HYPERLINK("https://klasma.github.io/Logging_1491/klagomålsmail/A 2626-2025 FSC-klagomål mail.docx", "A 2626-2025")</f>
        <v/>
      </c>
      <c r="AC41">
        <f>HYPERLINK("https://klasma.github.io/Logging_1491/tillsyn/A 2626-2025 tillsynsbegäran.docx", "A 2626-2025")</f>
        <v/>
      </c>
      <c r="AD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46291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HYPERLINK("https://klasma.github.io/Logging_1491/artfynd/A 64810-2021 artfynd.xlsx", "A 64810-2021")</f>
        <v/>
      </c>
      <c r="X42">
        <f>HYPERLINK("https://klasma.github.io/Logging_1491/kartor/A 64810-2021 karta.png", "A 64810-2021")</f>
        <v/>
      </c>
      <c r="Y42">
        <f>HYPERLINK("https://klasma.github.io/Logging_1491/kartor_geotiff/A 64810-2021 georefererad karta.tif", "A 64810-2021")</f>
        <v/>
      </c>
      <c r="AA42">
        <f>HYPERLINK("https://klasma.github.io/Logging_1491/klagomål/A 64810-2021 FSC-klagomål.docx", "A 64810-2021")</f>
        <v/>
      </c>
      <c r="AB42">
        <f>HYPERLINK("https://klasma.github.io/Logging_1491/klagomålsmail/A 64810-2021 FSC-klagomål mail.docx", "A 64810-2021")</f>
        <v/>
      </c>
      <c r="AC42">
        <f>HYPERLINK("https://klasma.github.io/Logging_1491/tillsyn/A 64810-2021 tillsynsbegäran.docx", "A 64810-2021")</f>
        <v/>
      </c>
      <c r="AD42">
        <f>HYPERLINK("https://klasma.github.io/Logging_1491/tillsynsmail/A 64810-2021 tillsynsbegäran mail.docx", "A 64810-2021")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46291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30954-2022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46291</v>
      </c>
      <c r="F44" t="inlineStr">
        <is>
          <t>VÄSTRA GÖTALANDS LÄN</t>
        </is>
      </c>
      <c r="G44" t="inlineStr">
        <is>
          <t>ULRICEHAMN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HYPERLINK("https://klasma.github.io/Logging_1491/artfynd/A 30954-2022 artfynd.xlsx", "A 30954-2022")</f>
        <v/>
      </c>
      <c r="X44">
        <f>HYPERLINK("https://klasma.github.io/Logging_1491/kartor/A 30954-2022 karta.png", "A 30954-2022")</f>
        <v/>
      </c>
      <c r="Y44">
        <f>HYPERLINK("https://klasma.github.io/Logging_1491/kartor_geotiff/A 30954-2022 georefererad karta.tif", "A 30954-2022")</f>
        <v/>
      </c>
      <c r="AA44">
        <f>HYPERLINK("https://klasma.github.io/Logging_1491/klagomål/A 30954-2022 FSC-klagomål.docx", "A 30954-2022")</f>
        <v/>
      </c>
      <c r="AB44">
        <f>HYPERLINK("https://klasma.github.io/Logging_1491/klagomålsmail/A 30954-2022 FSC-klagomål mail.docx", "A 30954-2022")</f>
        <v/>
      </c>
      <c r="AC44">
        <f>HYPERLINK("https://klasma.github.io/Logging_1491/tillsyn/A 30954-2022 tillsynsbegäran.docx", "A 30954-2022")</f>
        <v/>
      </c>
      <c r="AD44">
        <f>HYPERLINK("https://klasma.github.io/Logging_1491/tillsynsmail/A 30954-2022 tillsynsbegäran mail.docx", "A 30954-2022")</f>
        <v/>
      </c>
      <c r="AE44">
        <f>HYPERLINK("https://klasma.github.io/Logging_1491/fåglar/A 30954-2022 prioriterade fågelarter.docx", "A 30954-2022")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46291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46291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46291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46291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46291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46291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46291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46291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55136-2021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46291</v>
      </c>
      <c r="F53" t="inlineStr">
        <is>
          <t>VÄSTRA GÖTALANDS LÄN</t>
        </is>
      </c>
      <c r="G53" t="inlineStr">
        <is>
          <t>ULRICEHAMN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46291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46291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46291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46291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46291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46291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46291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46291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46291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46291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46291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46291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46291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46291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46291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46291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46291</v>
      </c>
      <c r="F70" t="inlineStr">
        <is>
          <t>VÄSTRA GÖTALANDS LÄN</t>
        </is>
      </c>
      <c r="G70" t="inlineStr">
        <is>
          <t>ULRICEHAMN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46291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46291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46291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46291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46291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46291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46291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46291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46291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46291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46291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46291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46291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46291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46291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46291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46291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46291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46291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46291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46291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46291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46291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46291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46291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46291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67657-2021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46291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46291</v>
      </c>
      <c r="F98" t="inlineStr">
        <is>
          <t>VÄSTRA GÖTALANDS LÄN</t>
        </is>
      </c>
      <c r="G98" t="inlineStr">
        <is>
          <t>ULRICEHAMN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46291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46291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44609</v>
      </c>
      <c r="E101" s="1" t="n">
        <v>46291</v>
      </c>
      <c r="F101" t="inlineStr">
        <is>
          <t>VÄSTRA GÖTALANDS LÄN</t>
        </is>
      </c>
      <c r="G101" t="inlineStr">
        <is>
          <t>ULRICEHAMN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46291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46291</v>
      </c>
      <c r="F103" t="inlineStr">
        <is>
          <t>VÄSTRA GÖTALANDS LÄN</t>
        </is>
      </c>
      <c r="G103" t="inlineStr">
        <is>
          <t>ULRICEHAMN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46291</v>
      </c>
      <c r="F104" t="inlineStr">
        <is>
          <t>VÄSTRA GÖTALANDS LÄN</t>
        </is>
      </c>
      <c r="G104" t="inlineStr">
        <is>
          <t>ULRICEHAMN</t>
        </is>
      </c>
      <c r="I104" t="n">
        <v>9.800000000000001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46291</v>
      </c>
      <c r="F105" t="inlineStr">
        <is>
          <t>VÄSTRA GÖTALANDS LÄN</t>
        </is>
      </c>
      <c r="G105" t="inlineStr">
        <is>
          <t>ULRICEHAMN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8170-2022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44609</v>
      </c>
      <c r="E106" s="1" t="n">
        <v>46291</v>
      </c>
      <c r="F106" t="inlineStr">
        <is>
          <t>VÄSTRA GÖTALANDS LÄN</t>
        </is>
      </c>
      <c r="G106" t="inlineStr">
        <is>
          <t>ULRICEHAMN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46291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45626</v>
      </c>
      <c r="E108" s="1" t="n">
        <v>46291</v>
      </c>
      <c r="F108" t="inlineStr">
        <is>
          <t>VÄSTRA GÖTALANDS LÄN</t>
        </is>
      </c>
      <c r="G108" t="inlineStr">
        <is>
          <t>ULRICEHAMN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45626</v>
      </c>
      <c r="E109" s="1" t="n">
        <v>46291</v>
      </c>
      <c r="F109" t="inlineStr">
        <is>
          <t>VÄSTRA GÖTALANDS LÄN</t>
        </is>
      </c>
      <c r="G109" t="inlineStr">
        <is>
          <t>ULRICEHAMN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32156-2022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44781</v>
      </c>
      <c r="E110" s="1" t="n">
        <v>46291</v>
      </c>
      <c r="F110" t="inlineStr">
        <is>
          <t>VÄSTRA GÖTALANDS LÄN</t>
        </is>
      </c>
      <c r="G110" t="inlineStr">
        <is>
          <t>ULRICEHAMN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46291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46291</v>
      </c>
      <c r="F112" t="inlineStr">
        <is>
          <t>VÄSTRA GÖTALANDS LÄN</t>
        </is>
      </c>
      <c r="G112" t="inlineStr">
        <is>
          <t>ULRICEHAMN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45362</v>
      </c>
      <c r="E113" s="1" t="n">
        <v>46291</v>
      </c>
      <c r="F113" t="inlineStr">
        <is>
          <t>VÄSTRA GÖTALANDS LÄN</t>
        </is>
      </c>
      <c r="G113" t="inlineStr">
        <is>
          <t>ULRICEHAMN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46291</v>
      </c>
      <c r="F114" t="inlineStr">
        <is>
          <t>VÄSTRA GÖTALANDS LÄN</t>
        </is>
      </c>
      <c r="G114" t="inlineStr">
        <is>
          <t>ULRICEHAMN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46291</v>
      </c>
      <c r="F115" t="inlineStr">
        <is>
          <t>VÄSTRA GÖTALANDS LÄN</t>
        </is>
      </c>
      <c r="G115" t="inlineStr">
        <is>
          <t>ULRICEHAMN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45344</v>
      </c>
      <c r="E116" s="1" t="n">
        <v>46291</v>
      </c>
      <c r="F116" t="inlineStr">
        <is>
          <t>VÄSTRA GÖTALANDS LÄN</t>
        </is>
      </c>
      <c r="G116" t="inlineStr">
        <is>
          <t>ULRICEHAMN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46291</v>
      </c>
      <c r="F117" t="inlineStr">
        <is>
          <t>VÄSTRA GÖTALANDS LÄN</t>
        </is>
      </c>
      <c r="G117" t="inlineStr">
        <is>
          <t>ULRICEHAMN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46291</v>
      </c>
      <c r="F118" t="inlineStr">
        <is>
          <t>VÄSTRA GÖTALANDS LÄN</t>
        </is>
      </c>
      <c r="G118" t="inlineStr">
        <is>
          <t>ULRICEHAMN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45075</v>
      </c>
      <c r="E119" s="1" t="n">
        <v>46291</v>
      </c>
      <c r="F119" t="inlineStr">
        <is>
          <t>VÄSTRA GÖTALANDS LÄN</t>
        </is>
      </c>
      <c r="G119" t="inlineStr">
        <is>
          <t>ULRICEHAMN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46291</v>
      </c>
      <c r="F120" t="inlineStr">
        <is>
          <t>VÄSTRA GÖTALANDS LÄN</t>
        </is>
      </c>
      <c r="G120" t="inlineStr">
        <is>
          <t>ULRICEHAMN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46291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46291</v>
      </c>
      <c r="F122" t="inlineStr">
        <is>
          <t>VÄSTRA GÖTALANDS LÄN</t>
        </is>
      </c>
      <c r="G122" t="inlineStr">
        <is>
          <t>ULRICEHAMN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44771</v>
      </c>
      <c r="E123" s="1" t="n">
        <v>46291</v>
      </c>
      <c r="F123" t="inlineStr">
        <is>
          <t>VÄSTRA GÖTALANDS LÄN</t>
        </is>
      </c>
      <c r="G123" t="inlineStr">
        <is>
          <t>ULRICEHAMN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8982-2024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46291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46291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39343-2022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44817</v>
      </c>
      <c r="E126" s="1" t="n">
        <v>46291</v>
      </c>
      <c r="F126" t="inlineStr">
        <is>
          <t>VÄSTRA GÖTALANDS LÄN</t>
        </is>
      </c>
      <c r="G126" t="inlineStr">
        <is>
          <t>ULRICEHAMN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46291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45398</v>
      </c>
      <c r="E128" s="1" t="n">
        <v>46291</v>
      </c>
      <c r="F128" t="inlineStr">
        <is>
          <t>VÄSTRA GÖTALANDS LÄN</t>
        </is>
      </c>
      <c r="G128" t="inlineStr">
        <is>
          <t>ULRICEHAMN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46291</v>
      </c>
      <c r="F129" t="inlineStr">
        <is>
          <t>VÄSTRA GÖTALANDS LÄN</t>
        </is>
      </c>
      <c r="G129" t="inlineStr">
        <is>
          <t>ULRICEHAMN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45428</v>
      </c>
      <c r="E130" s="1" t="n">
        <v>46291</v>
      </c>
      <c r="F130" t="inlineStr">
        <is>
          <t>VÄSTRA GÖTALANDS LÄN</t>
        </is>
      </c>
      <c r="G130" t="inlineStr">
        <is>
          <t>ULRICEHAMN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27399-2024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46291</v>
      </c>
      <c r="F131" t="inlineStr">
        <is>
          <t>VÄSTRA GÖTALANDS LÄN</t>
        </is>
      </c>
      <c r="G131" t="inlineStr">
        <is>
          <t>ULRICEHAMN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46291</v>
      </c>
      <c r="F132" t="inlineStr">
        <is>
          <t>VÄSTRA GÖTALANDS LÄN</t>
        </is>
      </c>
      <c r="G132" t="inlineStr">
        <is>
          <t>ULRICEHAMN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46291</v>
      </c>
      <c r="F133" t="inlineStr">
        <is>
          <t>VÄSTRA GÖTALANDS LÄN</t>
        </is>
      </c>
      <c r="G133" t="inlineStr">
        <is>
          <t>ULRICEHAMN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46291</v>
      </c>
      <c r="F134" t="inlineStr">
        <is>
          <t>VÄSTRA GÖTALANDS LÄN</t>
        </is>
      </c>
      <c r="G134" t="inlineStr">
        <is>
          <t>ULRICEHAMN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44916</v>
      </c>
      <c r="E135" s="1" t="n">
        <v>46291</v>
      </c>
      <c r="F135" t="inlineStr">
        <is>
          <t>VÄSTRA GÖTALANDS LÄN</t>
        </is>
      </c>
      <c r="G135" t="inlineStr">
        <is>
          <t>ULRICEHAMN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56295-2023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45242</v>
      </c>
      <c r="E136" s="1" t="n">
        <v>46291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45086</v>
      </c>
      <c r="E137" s="1" t="n">
        <v>46291</v>
      </c>
      <c r="F137" t="inlineStr">
        <is>
          <t>VÄSTRA GÖTALANDS LÄN</t>
        </is>
      </c>
      <c r="G137" t="inlineStr">
        <is>
          <t>ULRICEHAMN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46291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45467</v>
      </c>
      <c r="E139" s="1" t="n">
        <v>46291</v>
      </c>
      <c r="F139" t="inlineStr">
        <is>
          <t>VÄSTRA GÖTALANDS LÄN</t>
        </is>
      </c>
      <c r="G139" t="inlineStr">
        <is>
          <t>ULRICEHAMN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46291</v>
      </c>
      <c r="F140" t="inlineStr">
        <is>
          <t>VÄSTRA GÖTALANDS LÄN</t>
        </is>
      </c>
      <c r="G140" t="inlineStr">
        <is>
          <t>ULRICEHAMN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45320</v>
      </c>
      <c r="E141" s="1" t="n">
        <v>46291</v>
      </c>
      <c r="F141" t="inlineStr">
        <is>
          <t>VÄSTRA GÖTALANDS LÄN</t>
        </is>
      </c>
      <c r="G141" t="inlineStr">
        <is>
          <t>ULRICEHAMN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46291</v>
      </c>
      <c r="F142" t="inlineStr">
        <is>
          <t>VÄSTRA GÖTALANDS LÄN</t>
        </is>
      </c>
      <c r="G142" t="inlineStr">
        <is>
          <t>ULRICEHAMN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9581-2025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45715</v>
      </c>
      <c r="E143" s="1" t="n">
        <v>46291</v>
      </c>
      <c r="F143" t="inlineStr">
        <is>
          <t>VÄSTRA GÖTALANDS LÄN</t>
        </is>
      </c>
      <c r="G143" t="inlineStr">
        <is>
          <t>ULRICEHAMN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45698</v>
      </c>
      <c r="E144" s="1" t="n">
        <v>46291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46291</v>
      </c>
      <c r="F145" t="inlineStr">
        <is>
          <t>VÄSTRA GÖTALANDS LÄN</t>
        </is>
      </c>
      <c r="G145" t="inlineStr">
        <is>
          <t>ULRICEHAMN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46291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46291</v>
      </c>
      <c r="F147" t="inlineStr">
        <is>
          <t>VÄSTRA GÖTALANDS LÄN</t>
        </is>
      </c>
      <c r="G147" t="inlineStr">
        <is>
          <t>ULRICEHAMN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45593</v>
      </c>
      <c r="E148" s="1" t="n">
        <v>46291</v>
      </c>
      <c r="F148" t="inlineStr">
        <is>
          <t>VÄSTRA GÖTALANDS LÄN</t>
        </is>
      </c>
      <c r="G148" t="inlineStr">
        <is>
          <t>ULRICEHAMN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4759-2025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45688</v>
      </c>
      <c r="E149" s="1" t="n">
        <v>46291</v>
      </c>
      <c r="F149" t="inlineStr">
        <is>
          <t>VÄSTRA GÖTALANDS LÄN</t>
        </is>
      </c>
      <c r="G149" t="inlineStr">
        <is>
          <t>ULRICEHAMN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46291</v>
      </c>
      <c r="F150" t="inlineStr">
        <is>
          <t>VÄSTRA GÖTALANDS LÄN</t>
        </is>
      </c>
      <c r="G150" t="inlineStr">
        <is>
          <t>ULRICEHAMN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46291</v>
      </c>
      <c r="F151" t="inlineStr">
        <is>
          <t>VÄSTRA GÖTALANDS LÄN</t>
        </is>
      </c>
      <c r="G151" t="inlineStr">
        <is>
          <t>ULRICEHAMN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46291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45043</v>
      </c>
      <c r="E153" s="1" t="n">
        <v>46291</v>
      </c>
      <c r="F153" t="inlineStr">
        <is>
          <t>VÄSTRA GÖTALANDS LÄN</t>
        </is>
      </c>
      <c r="G153" t="inlineStr">
        <is>
          <t>ULRICEHAMN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44894</v>
      </c>
      <c r="E154" s="1" t="n">
        <v>46291</v>
      </c>
      <c r="F154" t="inlineStr">
        <is>
          <t>VÄSTRA GÖTALANDS LÄN</t>
        </is>
      </c>
      <c r="G154" t="inlineStr">
        <is>
          <t>ULRICEHAMN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45334</v>
      </c>
      <c r="E155" s="1" t="n">
        <v>46291</v>
      </c>
      <c r="F155" t="inlineStr">
        <is>
          <t>VÄSTRA GÖTALANDS LÄN</t>
        </is>
      </c>
      <c r="G155" t="inlineStr">
        <is>
          <t>ULRICEHAMN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46291</v>
      </c>
      <c r="F156" t="inlineStr">
        <is>
          <t>VÄSTRA GÖTALANDS LÄN</t>
        </is>
      </c>
      <c r="G156" t="inlineStr">
        <is>
          <t>ULRICEHAMN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46291</v>
      </c>
      <c r="F157" t="inlineStr">
        <is>
          <t>VÄSTRA GÖTALANDS LÄN</t>
        </is>
      </c>
      <c r="G157" t="inlineStr">
        <is>
          <t>ULRICEHAMN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46291</v>
      </c>
      <c r="F158" t="inlineStr">
        <is>
          <t>VÄSTRA GÖTALANDS LÄN</t>
        </is>
      </c>
      <c r="G158" t="inlineStr">
        <is>
          <t>ULRICEHAMN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46291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46291</v>
      </c>
      <c r="F160" t="inlineStr">
        <is>
          <t>VÄSTRA GÖTALANDS LÄN</t>
        </is>
      </c>
      <c r="G160" t="inlineStr">
        <is>
          <t>ULRICEHAMN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24347-2025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45797</v>
      </c>
      <c r="E161" s="1" t="n">
        <v>46291</v>
      </c>
      <c r="F161" t="inlineStr">
        <is>
          <t>VÄSTRA GÖTALANDS LÄN</t>
        </is>
      </c>
      <c r="G161" t="inlineStr">
        <is>
          <t>ULRICEHAMN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46291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46291</v>
      </c>
      <c r="F163" t="inlineStr">
        <is>
          <t>VÄSTRA GÖTALANDS LÄN</t>
        </is>
      </c>
      <c r="G163" t="inlineStr">
        <is>
          <t>ULRICEHAMN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46291</v>
      </c>
      <c r="F164" t="inlineStr">
        <is>
          <t>VÄSTRA GÖTALANDS LÄN</t>
        </is>
      </c>
      <c r="G164" t="inlineStr">
        <is>
          <t>ULRICEHAMN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46291</v>
      </c>
      <c r="F165" t="inlineStr">
        <is>
          <t>VÄSTRA GÖTALANDS LÄN</t>
        </is>
      </c>
      <c r="G165" t="inlineStr">
        <is>
          <t>ULRICEHAMN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45341</v>
      </c>
      <c r="E166" s="1" t="n">
        <v>46291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45605</v>
      </c>
      <c r="E167" s="1" t="n">
        <v>46291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45795</v>
      </c>
      <c r="E168" s="1" t="n">
        <v>46291</v>
      </c>
      <c r="F168" t="inlineStr">
        <is>
          <t>VÄSTRA GÖTALANDS LÄN</t>
        </is>
      </c>
      <c r="G168" t="inlineStr">
        <is>
          <t>ULRICEHAMN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46291</v>
      </c>
      <c r="F169" t="inlineStr">
        <is>
          <t>VÄSTRA GÖTALANDS LÄN</t>
        </is>
      </c>
      <c r="G169" t="inlineStr">
        <is>
          <t>ULRICEHAMN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46291</v>
      </c>
      <c r="F170" t="inlineStr">
        <is>
          <t>VÄSTRA GÖTALANDS LÄN</t>
        </is>
      </c>
      <c r="G170" t="inlineStr">
        <is>
          <t>ULRICEHAMN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46291</v>
      </c>
      <c r="F171" t="inlineStr">
        <is>
          <t>VÄSTRA GÖTALANDS LÄN</t>
        </is>
      </c>
      <c r="G171" t="inlineStr">
        <is>
          <t>ULRICEHAMN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46291</v>
      </c>
      <c r="F172" t="inlineStr">
        <is>
          <t>VÄSTRA GÖTALANDS LÄN</t>
        </is>
      </c>
      <c r="G172" t="inlineStr">
        <is>
          <t>ULRICEHAMN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46291</v>
      </c>
      <c r="F173" t="inlineStr">
        <is>
          <t>VÄSTRA GÖTALANDS LÄN</t>
        </is>
      </c>
      <c r="G173" t="inlineStr">
        <is>
          <t>ULRICEHAMN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45643</v>
      </c>
      <c r="E174" s="1" t="n">
        <v>46291</v>
      </c>
      <c r="F174" t="inlineStr">
        <is>
          <t>VÄSTRA GÖTALANDS LÄN</t>
        </is>
      </c>
      <c r="G174" t="inlineStr">
        <is>
          <t>ULRICEHAMN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44656</v>
      </c>
      <c r="E175" s="1" t="n">
        <v>46291</v>
      </c>
      <c r="F175" t="inlineStr">
        <is>
          <t>VÄSTRA GÖTALANDS LÄN</t>
        </is>
      </c>
      <c r="G175" t="inlineStr">
        <is>
          <t>ULRICEHAMN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46291</v>
      </c>
      <c r="F176" t="inlineStr">
        <is>
          <t>VÄSTRA GÖTALANDS LÄN</t>
        </is>
      </c>
      <c r="G176" t="inlineStr">
        <is>
          <t>ULRICEHAMN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46291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46291</v>
      </c>
      <c r="F178" t="inlineStr">
        <is>
          <t>VÄSTRA GÖTALANDS LÄN</t>
        </is>
      </c>
      <c r="G178" t="inlineStr">
        <is>
          <t>ULRICEHAMN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45498</v>
      </c>
      <c r="E179" s="1" t="n">
        <v>46291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46291</v>
      </c>
      <c r="F180" t="inlineStr">
        <is>
          <t>VÄSTRA GÖTALANDS LÄN</t>
        </is>
      </c>
      <c r="G180" t="inlineStr">
        <is>
          <t>ULRICEHAMN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46291</v>
      </c>
      <c r="F181" t="inlineStr">
        <is>
          <t>VÄSTRA GÖTALANDS LÄN</t>
        </is>
      </c>
      <c r="G181" t="inlineStr">
        <is>
          <t>ULRICEHAMN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45626</v>
      </c>
      <c r="E182" s="1" t="n">
        <v>46291</v>
      </c>
      <c r="F182" t="inlineStr">
        <is>
          <t>VÄSTRA GÖTALANDS LÄN</t>
        </is>
      </c>
      <c r="G182" t="inlineStr">
        <is>
          <t>ULRICEHAMN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46291</v>
      </c>
      <c r="F183" t="inlineStr">
        <is>
          <t>VÄSTRA GÖTALANDS LÄN</t>
        </is>
      </c>
      <c r="G183" t="inlineStr">
        <is>
          <t>ULRICEHAMN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46291</v>
      </c>
      <c r="F184" t="inlineStr">
        <is>
          <t>VÄSTRA GÖTALANDS LÄN</t>
        </is>
      </c>
      <c r="G184" t="inlineStr">
        <is>
          <t>ULRICEHAMN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46291</v>
      </c>
      <c r="F185" t="inlineStr">
        <is>
          <t>VÄSTRA GÖTALANDS LÄN</t>
        </is>
      </c>
      <c r="G185" t="inlineStr">
        <is>
          <t>ULRICEHAMN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24901-2025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45799</v>
      </c>
      <c r="E186" s="1" t="n">
        <v>46291</v>
      </c>
      <c r="F186" t="inlineStr">
        <is>
          <t>VÄSTRA GÖTALANDS LÄN</t>
        </is>
      </c>
      <c r="G186" t="inlineStr">
        <is>
          <t>ULRICEHAMN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46291</v>
      </c>
      <c r="F187" t="inlineStr">
        <is>
          <t>VÄSTRA GÖTALANDS LÄN</t>
        </is>
      </c>
      <c r="G187" t="inlineStr">
        <is>
          <t>ULRICEHAMN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46291</v>
      </c>
      <c r="F188" t="inlineStr">
        <is>
          <t>VÄSTRA GÖTALANDS LÄN</t>
        </is>
      </c>
      <c r="G188" t="inlineStr">
        <is>
          <t>ULRICEHAMN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46291</v>
      </c>
      <c r="F189" t="inlineStr">
        <is>
          <t>VÄSTRA GÖTALANDS LÄN</t>
        </is>
      </c>
      <c r="G189" t="inlineStr">
        <is>
          <t>ULRICEHAMN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46291</v>
      </c>
      <c r="F190" t="inlineStr">
        <is>
          <t>VÄSTRA GÖTALANDS LÄN</t>
        </is>
      </c>
      <c r="G190" t="inlineStr">
        <is>
          <t>ULRICEHAMN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46291</v>
      </c>
      <c r="F191" t="inlineStr">
        <is>
          <t>VÄSTRA GÖTALANDS LÄN</t>
        </is>
      </c>
      <c r="G191" t="inlineStr">
        <is>
          <t>ULRICEHAMN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44909</v>
      </c>
      <c r="E192" s="1" t="n">
        <v>46291</v>
      </c>
      <c r="F192" t="inlineStr">
        <is>
          <t>VÄSTRA GÖTALANDS LÄN</t>
        </is>
      </c>
      <c r="G192" t="inlineStr">
        <is>
          <t>ULRICEHAMN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46291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45354</v>
      </c>
      <c r="E194" s="1" t="n">
        <v>46291</v>
      </c>
      <c r="F194" t="inlineStr">
        <is>
          <t>VÄSTRA GÖTALANDS LÄN</t>
        </is>
      </c>
      <c r="G194" t="inlineStr">
        <is>
          <t>ULRICEHAMN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46291</v>
      </c>
      <c r="F195" t="inlineStr">
        <is>
          <t>VÄSTRA GÖTALANDS LÄN</t>
        </is>
      </c>
      <c r="G195" t="inlineStr">
        <is>
          <t>ULRICEHAMN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46291</v>
      </c>
      <c r="F196" t="inlineStr">
        <is>
          <t>VÄSTRA GÖTALANDS LÄN</t>
        </is>
      </c>
      <c r="G196" t="inlineStr">
        <is>
          <t>ULRICEHAMN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46291</v>
      </c>
      <c r="F197" t="inlineStr">
        <is>
          <t>VÄSTRA GÖTALANDS LÄN</t>
        </is>
      </c>
      <c r="G197" t="inlineStr">
        <is>
          <t>ULRICEHAMN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46291</v>
      </c>
      <c r="F198" t="inlineStr">
        <is>
          <t>VÄSTRA GÖTALANDS LÄN</t>
        </is>
      </c>
      <c r="G198" t="inlineStr">
        <is>
          <t>ULRICEHAMN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46291</v>
      </c>
      <c r="F199" t="inlineStr">
        <is>
          <t>VÄSTRA GÖTALANDS LÄN</t>
        </is>
      </c>
      <c r="G199" t="inlineStr">
        <is>
          <t>ULRICEHAMN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46291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45742</v>
      </c>
      <c r="E201" s="1" t="n">
        <v>46291</v>
      </c>
      <c r="F201" t="inlineStr">
        <is>
          <t>VÄSTRA GÖTALANDS LÄN</t>
        </is>
      </c>
      <c r="G201" t="inlineStr">
        <is>
          <t>ULRICEHAMN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44638</v>
      </c>
      <c r="E202" s="1" t="n">
        <v>46291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46291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44626</v>
      </c>
      <c r="E204" s="1" t="n">
        <v>46291</v>
      </c>
      <c r="F204" t="inlineStr">
        <is>
          <t>VÄSTRA GÖTALANDS LÄN</t>
        </is>
      </c>
      <c r="G204" t="inlineStr">
        <is>
          <t>ULRICEHAMN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46291</v>
      </c>
      <c r="F205" t="inlineStr">
        <is>
          <t>VÄSTRA GÖTALANDS LÄN</t>
        </is>
      </c>
      <c r="G205" t="inlineStr">
        <is>
          <t>ULRICEHAMN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45348</v>
      </c>
      <c r="E206" s="1" t="n">
        <v>46291</v>
      </c>
      <c r="F206" t="inlineStr">
        <is>
          <t>VÄSTRA GÖTALANDS LÄN</t>
        </is>
      </c>
      <c r="G206" t="inlineStr">
        <is>
          <t>ULRICEHAMN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46291</v>
      </c>
      <c r="F207" t="inlineStr">
        <is>
          <t>VÄSTRA GÖTALANDS LÄN</t>
        </is>
      </c>
      <c r="G207" t="inlineStr">
        <is>
          <t>ULRICEHAMN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54208-2022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44881</v>
      </c>
      <c r="E208" s="1" t="n">
        <v>46291</v>
      </c>
      <c r="F208" t="inlineStr">
        <is>
          <t>VÄSTRA GÖTALANDS LÄN</t>
        </is>
      </c>
      <c r="G208" t="inlineStr">
        <is>
          <t>ULRICEHAMN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46291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46291</v>
      </c>
      <c r="F210" t="inlineStr">
        <is>
          <t>VÄSTRA GÖTALANDS LÄN</t>
        </is>
      </c>
      <c r="G210" t="inlineStr">
        <is>
          <t>ULRICEHAMN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44672</v>
      </c>
      <c r="E211" s="1" t="n">
        <v>46291</v>
      </c>
      <c r="F211" t="inlineStr">
        <is>
          <t>VÄSTRA GÖTALANDS LÄN</t>
        </is>
      </c>
      <c r="G211" t="inlineStr">
        <is>
          <t>ULRICEHAMN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46291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46291</v>
      </c>
      <c r="F213" t="inlineStr">
        <is>
          <t>VÄSTRA GÖTALANDS LÄN</t>
        </is>
      </c>
      <c r="G213" t="inlineStr">
        <is>
          <t>ULRICEHAMN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46291</v>
      </c>
      <c r="F214" t="inlineStr">
        <is>
          <t>VÄSTRA GÖTALANDS LÄN</t>
        </is>
      </c>
      <c r="G214" t="inlineStr">
        <is>
          <t>ULRICEHAMN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45806</v>
      </c>
      <c r="E215" s="1" t="n">
        <v>46291</v>
      </c>
      <c r="F215" t="inlineStr">
        <is>
          <t>VÄSTRA GÖTALANDS LÄN</t>
        </is>
      </c>
      <c r="G215" t="inlineStr">
        <is>
          <t>ULRICEHAMN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45806</v>
      </c>
      <c r="E216" s="1" t="n">
        <v>46291</v>
      </c>
      <c r="F216" t="inlineStr">
        <is>
          <t>VÄSTRA GÖTALANDS LÄN</t>
        </is>
      </c>
      <c r="G216" t="inlineStr">
        <is>
          <t>ULRICEHAMN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46291</v>
      </c>
      <c r="F217" t="inlineStr">
        <is>
          <t>VÄSTRA GÖTALANDS LÄN</t>
        </is>
      </c>
      <c r="G217" t="inlineStr">
        <is>
          <t>ULRICEHAMN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46291</v>
      </c>
      <c r="F218" t="inlineStr">
        <is>
          <t>VÄSTRA GÖTALANDS LÄN</t>
        </is>
      </c>
      <c r="G218" t="inlineStr">
        <is>
          <t>ULRICEHAMN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46071</v>
      </c>
      <c r="E219" s="1" t="n">
        <v>46291</v>
      </c>
      <c r="F219" t="inlineStr">
        <is>
          <t>VÄSTRA GÖTALANDS LÄN</t>
        </is>
      </c>
      <c r="G219" t="inlineStr">
        <is>
          <t>ULRICEHAMN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45806</v>
      </c>
      <c r="E220" s="1" t="n">
        <v>46291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45806</v>
      </c>
      <c r="E221" s="1" t="n">
        <v>46291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46291</v>
      </c>
      <c r="F222" t="inlineStr">
        <is>
          <t>VÄSTRA GÖTALANDS LÄN</t>
        </is>
      </c>
      <c r="G222" t="inlineStr">
        <is>
          <t>ULRICEHAMN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10431-2026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46077</v>
      </c>
      <c r="E223" s="1" t="n">
        <v>46291</v>
      </c>
      <c r="F223" t="inlineStr">
        <is>
          <t>VÄSTRA GÖTALANDS LÄN</t>
        </is>
      </c>
      <c r="G223" t="inlineStr">
        <is>
          <t>ULRICEHAMN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46291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46291</v>
      </c>
      <c r="F225" t="inlineStr">
        <is>
          <t>VÄSTRA GÖTALANDS LÄN</t>
        </is>
      </c>
      <c r="G225" t="inlineStr">
        <is>
          <t>ULRICEHAMN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46291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46291</v>
      </c>
      <c r="F227" t="inlineStr">
        <is>
          <t>VÄSTRA GÖTALANDS LÄN</t>
        </is>
      </c>
      <c r="G227" t="inlineStr">
        <is>
          <t>ULRICEHAMN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45806</v>
      </c>
      <c r="E228" s="1" t="n">
        <v>46291</v>
      </c>
      <c r="F228" t="inlineStr">
        <is>
          <t>VÄSTRA GÖTALANDS LÄN</t>
        </is>
      </c>
      <c r="G228" t="inlineStr">
        <is>
          <t>ULRICEHAMN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45806</v>
      </c>
      <c r="E229" s="1" t="n">
        <v>46291</v>
      </c>
      <c r="F229" t="inlineStr">
        <is>
          <t>VÄSTRA GÖTALANDS LÄN</t>
        </is>
      </c>
      <c r="G229" t="inlineStr">
        <is>
          <t>ULRICEHAMN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45473</v>
      </c>
      <c r="E230" s="1" t="n">
        <v>46291</v>
      </c>
      <c r="F230" t="inlineStr">
        <is>
          <t>VÄSTRA GÖTALANDS LÄN</t>
        </is>
      </c>
      <c r="G230" t="inlineStr">
        <is>
          <t>ULRICEHAMN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45573</v>
      </c>
      <c r="E231" s="1" t="n">
        <v>46291</v>
      </c>
      <c r="F231" t="inlineStr">
        <is>
          <t>VÄSTRA GÖTALANDS LÄN</t>
        </is>
      </c>
      <c r="G231" t="inlineStr">
        <is>
          <t>ULRICEHAMN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45385</v>
      </c>
      <c r="E232" s="1" t="n">
        <v>46291</v>
      </c>
      <c r="F232" t="inlineStr">
        <is>
          <t>VÄSTRA GÖTALANDS LÄN</t>
        </is>
      </c>
      <c r="G232" t="inlineStr">
        <is>
          <t>ULRICEHAMN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46291</v>
      </c>
      <c r="F233" t="inlineStr">
        <is>
          <t>VÄSTRA GÖTALANDS LÄN</t>
        </is>
      </c>
      <c r="G233" t="inlineStr">
        <is>
          <t>ULRICEHAMN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46087</v>
      </c>
      <c r="E234" s="1" t="n">
        <v>46291</v>
      </c>
      <c r="F234" t="inlineStr">
        <is>
          <t>VÄSTRA GÖTALANDS LÄN</t>
        </is>
      </c>
      <c r="G234" t="inlineStr">
        <is>
          <t>ULRICEHAMN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45934</v>
      </c>
      <c r="E235" s="1" t="n">
        <v>46291</v>
      </c>
      <c r="F235" t="inlineStr">
        <is>
          <t>VÄSTRA GÖTALANDS LÄN</t>
        </is>
      </c>
      <c r="G235" t="inlineStr">
        <is>
          <t>ULRICEHAMN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45934</v>
      </c>
      <c r="E236" s="1" t="n">
        <v>46291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45132</v>
      </c>
      <c r="E237" s="1" t="n">
        <v>46291</v>
      </c>
      <c r="F237" t="inlineStr">
        <is>
          <t>VÄSTRA GÖTALANDS LÄN</t>
        </is>
      </c>
      <c r="G237" t="inlineStr">
        <is>
          <t>ULRICEHAMN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45934</v>
      </c>
      <c r="E238" s="1" t="n">
        <v>46291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46291</v>
      </c>
      <c r="F239" t="inlineStr">
        <is>
          <t>VÄSTRA GÖTALANDS LÄN</t>
        </is>
      </c>
      <c r="G239" t="inlineStr">
        <is>
          <t>ULRICEHAMN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46291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46291</v>
      </c>
      <c r="F241" t="inlineStr">
        <is>
          <t>VÄSTRA GÖTALANDS LÄN</t>
        </is>
      </c>
      <c r="G241" t="inlineStr">
        <is>
          <t>ULRICEHAMN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46291</v>
      </c>
      <c r="F242" t="inlineStr">
        <is>
          <t>VÄSTRA GÖTALANDS LÄN</t>
        </is>
      </c>
      <c r="G242" t="inlineStr">
        <is>
          <t>ULRICEHAMN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7094-2024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45343</v>
      </c>
      <c r="E243" s="1" t="n">
        <v>46291</v>
      </c>
      <c r="F243" t="inlineStr">
        <is>
          <t>VÄSTRA GÖTALANDS LÄN</t>
        </is>
      </c>
      <c r="G243" t="inlineStr">
        <is>
          <t>ULRICEHAMN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45934</v>
      </c>
      <c r="E244" s="1" t="n">
        <v>46291</v>
      </c>
      <c r="F244" t="inlineStr">
        <is>
          <t>VÄSTRA GÖTALANDS LÄN</t>
        </is>
      </c>
      <c r="G244" t="inlineStr">
        <is>
          <t>ULRICEHAMN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46291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46291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45547</v>
      </c>
      <c r="E247" s="1" t="n">
        <v>46291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46291</v>
      </c>
      <c r="F248" t="inlineStr">
        <is>
          <t>VÄSTRA GÖTALANDS LÄN</t>
        </is>
      </c>
      <c r="G248" t="inlineStr">
        <is>
          <t>ULRICEHAMN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46291</v>
      </c>
      <c r="F249" t="inlineStr">
        <is>
          <t>VÄSTRA GÖTALANDS LÄN</t>
        </is>
      </c>
      <c r="G249" t="inlineStr">
        <is>
          <t>ULRICEHAMN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46291</v>
      </c>
      <c r="F250" t="inlineStr">
        <is>
          <t>VÄSTRA GÖTALANDS LÄN</t>
        </is>
      </c>
      <c r="G250" t="inlineStr">
        <is>
          <t>ULRICEHAMN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46291</v>
      </c>
      <c r="F251" t="inlineStr">
        <is>
          <t>VÄSTRA GÖTALANDS LÄN</t>
        </is>
      </c>
      <c r="G251" t="inlineStr">
        <is>
          <t>ULRICEHAMN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44663</v>
      </c>
      <c r="E252" s="1" t="n">
        <v>46291</v>
      </c>
      <c r="F252" t="inlineStr">
        <is>
          <t>VÄSTRA GÖTALANDS LÄN</t>
        </is>
      </c>
      <c r="G252" t="inlineStr">
        <is>
          <t>ULRICEHAMN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44724</v>
      </c>
      <c r="E253" s="1" t="n">
        <v>46291</v>
      </c>
      <c r="F253" t="inlineStr">
        <is>
          <t>VÄSTRA GÖTALANDS LÄN</t>
        </is>
      </c>
      <c r="G253" t="inlineStr">
        <is>
          <t>ULRICEHAMN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46291</v>
      </c>
      <c r="F254" t="inlineStr">
        <is>
          <t>VÄSTRA GÖTALANDS LÄN</t>
        </is>
      </c>
      <c r="G254" t="inlineStr">
        <is>
          <t>ULRICEHAMN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46291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46291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Sveaskog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46291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46291</v>
      </c>
      <c r="F258" t="inlineStr">
        <is>
          <t>VÄSTRA GÖTALANDS LÄN</t>
        </is>
      </c>
      <c r="G258" t="inlineStr">
        <is>
          <t>ULRICEHAMN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45939</v>
      </c>
      <c r="E259" s="1" t="n">
        <v>46291</v>
      </c>
      <c r="F259" t="inlineStr">
        <is>
          <t>VÄSTRA GÖTALANDS LÄN</t>
        </is>
      </c>
      <c r="G259" t="inlineStr">
        <is>
          <t>ULRICEHAMN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45070</v>
      </c>
      <c r="E260" s="1" t="n">
        <v>46291</v>
      </c>
      <c r="F260" t="inlineStr">
        <is>
          <t>VÄSTRA GÖTALANDS LÄN</t>
        </is>
      </c>
      <c r="G260" t="inlineStr">
        <is>
          <t>ULRICEHAMN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46291</v>
      </c>
      <c r="F261" t="inlineStr">
        <is>
          <t>VÄSTRA GÖTALANDS LÄN</t>
        </is>
      </c>
      <c r="G261" t="inlineStr">
        <is>
          <t>ULRICEHAMN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46291</v>
      </c>
      <c r="F262" t="inlineStr">
        <is>
          <t>VÄSTRA GÖTALANDS LÄN</t>
        </is>
      </c>
      <c r="G262" t="inlineStr">
        <is>
          <t>ULRICEHAMN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46291</v>
      </c>
      <c r="F263" t="inlineStr">
        <is>
          <t>VÄSTRA GÖTALANDS LÄN</t>
        </is>
      </c>
      <c r="G263" t="inlineStr">
        <is>
          <t>ULRICEHAMN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46291</v>
      </c>
      <c r="F264" t="inlineStr">
        <is>
          <t>VÄSTRA GÖTALANDS LÄN</t>
        </is>
      </c>
      <c r="G264" t="inlineStr">
        <is>
          <t>ULRICEHAMN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46291</v>
      </c>
      <c r="F265" t="inlineStr">
        <is>
          <t>VÄSTRA GÖTALANDS LÄN</t>
        </is>
      </c>
      <c r="G265" t="inlineStr">
        <is>
          <t>ULRICEHAMN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46291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45427</v>
      </c>
      <c r="E267" s="1" t="n">
        <v>46291</v>
      </c>
      <c r="F267" t="inlineStr">
        <is>
          <t>VÄSTRA GÖTALANDS LÄN</t>
        </is>
      </c>
      <c r="G267" t="inlineStr">
        <is>
          <t>ULRICEHAMN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46291</v>
      </c>
      <c r="F268" t="inlineStr">
        <is>
          <t>VÄSTRA GÖTALANDS LÄN</t>
        </is>
      </c>
      <c r="G268" t="inlineStr">
        <is>
          <t>ULRICEHAMN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45951</v>
      </c>
      <c r="E269" s="1" t="n">
        <v>46291</v>
      </c>
      <c r="F269" t="inlineStr">
        <is>
          <t>VÄSTRA GÖTALANDS LÄN</t>
        </is>
      </c>
      <c r="G269" t="inlineStr">
        <is>
          <t>ULRICEHAMN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44735</v>
      </c>
      <c r="E270" s="1" t="n">
        <v>46291</v>
      </c>
      <c r="F270" t="inlineStr">
        <is>
          <t>VÄSTRA GÖTALANDS LÄN</t>
        </is>
      </c>
      <c r="G270" t="inlineStr">
        <is>
          <t>ULRICEHAMN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46291</v>
      </c>
      <c r="F271" t="inlineStr">
        <is>
          <t>VÄSTRA GÖTALANDS LÄN</t>
        </is>
      </c>
      <c r="G271" t="inlineStr">
        <is>
          <t>ULRICEHAMN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46291</v>
      </c>
      <c r="F272" t="inlineStr">
        <is>
          <t>VÄSTRA GÖTALANDS LÄN</t>
        </is>
      </c>
      <c r="G272" t="inlineStr">
        <is>
          <t>ULRICEHAMN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46291</v>
      </c>
      <c r="F273" t="inlineStr">
        <is>
          <t>VÄSTRA GÖTALANDS LÄN</t>
        </is>
      </c>
      <c r="G273" t="inlineStr">
        <is>
          <t>ULRICEHAMN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46291</v>
      </c>
      <c r="F274" t="inlineStr">
        <is>
          <t>VÄSTRA GÖTALANDS LÄN</t>
        </is>
      </c>
      <c r="G274" t="inlineStr">
        <is>
          <t>ULRICEHAMN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44831</v>
      </c>
      <c r="E275" s="1" t="n">
        <v>46291</v>
      </c>
      <c r="F275" t="inlineStr">
        <is>
          <t>VÄSTRA GÖTALANDS LÄN</t>
        </is>
      </c>
      <c r="G275" t="inlineStr">
        <is>
          <t>ULRICEHAMN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46291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20.3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46291</v>
      </c>
      <c r="F277" t="inlineStr">
        <is>
          <t>VÄSTRA GÖTALANDS LÄN</t>
        </is>
      </c>
      <c r="G277" t="inlineStr">
        <is>
          <t>ULRICEHAMN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46291</v>
      </c>
      <c r="F278" t="inlineStr">
        <is>
          <t>VÄSTRA GÖTALANDS LÄN</t>
        </is>
      </c>
      <c r="G278" t="inlineStr">
        <is>
          <t>ULRICEHAMN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46291</v>
      </c>
      <c r="F279" t="inlineStr">
        <is>
          <t>VÄSTRA GÖTALANDS LÄN</t>
        </is>
      </c>
      <c r="G279" t="inlineStr">
        <is>
          <t>ULRICEHAMN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46291</v>
      </c>
      <c r="F280" t="inlineStr">
        <is>
          <t>VÄSTRA GÖTALANDS LÄN</t>
        </is>
      </c>
      <c r="G280" t="inlineStr">
        <is>
          <t>ULRICEHAMN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46291</v>
      </c>
      <c r="F281" t="inlineStr">
        <is>
          <t>VÄSTRA GÖTALANDS LÄN</t>
        </is>
      </c>
      <c r="G281" t="inlineStr">
        <is>
          <t>ULRICEHAMN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46291</v>
      </c>
      <c r="F282" t="inlineStr">
        <is>
          <t>VÄSTRA GÖTALANDS LÄN</t>
        </is>
      </c>
      <c r="G282" t="inlineStr">
        <is>
          <t>ULRICEHAMN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46291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46291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46118</v>
      </c>
      <c r="E285" s="1" t="n">
        <v>46291</v>
      </c>
      <c r="F285" t="inlineStr">
        <is>
          <t>VÄSTRA GÖTALANDS LÄN</t>
        </is>
      </c>
      <c r="G285" t="inlineStr">
        <is>
          <t>ULRICEHAMN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45960</v>
      </c>
      <c r="E286" s="1" t="n">
        <v>46291</v>
      </c>
      <c r="F286" t="inlineStr">
        <is>
          <t>VÄSTRA GÖTALANDS LÄN</t>
        </is>
      </c>
      <c r="G286" t="inlineStr">
        <is>
          <t>ULRICEHAMN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46291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46291</v>
      </c>
      <c r="F288" t="inlineStr">
        <is>
          <t>VÄSTRA GÖTALANDS LÄN</t>
        </is>
      </c>
      <c r="G288" t="inlineStr">
        <is>
          <t>ULRICEHAMN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46291</v>
      </c>
      <c r="F289" t="inlineStr">
        <is>
          <t>VÄSTRA GÖTALANDS LÄN</t>
        </is>
      </c>
      <c r="G289" t="inlineStr">
        <is>
          <t>ULRICEHAMN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46291</v>
      </c>
      <c r="F290" t="inlineStr">
        <is>
          <t>VÄSTRA GÖTALANDS LÄN</t>
        </is>
      </c>
      <c r="G290" t="inlineStr">
        <is>
          <t>ULRICEHAMN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46291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44971</v>
      </c>
      <c r="E292" s="1" t="n">
        <v>46291</v>
      </c>
      <c r="F292" t="inlineStr">
        <is>
          <t>VÄSTRA GÖTALANDS LÄN</t>
        </is>
      </c>
      <c r="G292" t="inlineStr">
        <is>
          <t>ULRICEHAMN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46291</v>
      </c>
      <c r="F293" t="inlineStr">
        <is>
          <t>VÄSTRA GÖTALANDS LÄN</t>
        </is>
      </c>
      <c r="G293" t="inlineStr">
        <is>
          <t>ULRICEHAMN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46291</v>
      </c>
      <c r="F294" t="inlineStr">
        <is>
          <t>VÄSTRA GÖTALANDS LÄN</t>
        </is>
      </c>
      <c r="G294" t="inlineStr">
        <is>
          <t>ULRICEHAMN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46291</v>
      </c>
      <c r="F295" t="inlineStr">
        <is>
          <t>VÄSTRA GÖTALANDS LÄN</t>
        </is>
      </c>
      <c r="G295" t="inlineStr">
        <is>
          <t>ULRICEHAMN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46291</v>
      </c>
      <c r="F296" t="inlineStr">
        <is>
          <t>VÄSTRA GÖTALANDS LÄN</t>
        </is>
      </c>
      <c r="G296" t="inlineStr">
        <is>
          <t>ULRICEHAMN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55270-2025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45968</v>
      </c>
      <c r="E297" s="1" t="n">
        <v>46291</v>
      </c>
      <c r="F297" t="inlineStr">
        <is>
          <t>VÄSTRA GÖTALANDS LÄN</t>
        </is>
      </c>
      <c r="G297" t="inlineStr">
        <is>
          <t>ULRICEHAMN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46291</v>
      </c>
      <c r="F298" t="inlineStr">
        <is>
          <t>VÄSTRA GÖTALANDS LÄN</t>
        </is>
      </c>
      <c r="G298" t="inlineStr">
        <is>
          <t>ULRICEHAMN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45602</v>
      </c>
      <c r="E299" s="1" t="n">
        <v>46291</v>
      </c>
      <c r="F299" t="inlineStr">
        <is>
          <t>VÄSTRA GÖTALANDS LÄN</t>
        </is>
      </c>
      <c r="G299" t="inlineStr">
        <is>
          <t>ULRICEHAMN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46291</v>
      </c>
      <c r="F300" t="inlineStr">
        <is>
          <t>VÄSTRA GÖTALANDS LÄN</t>
        </is>
      </c>
      <c r="G300" t="inlineStr">
        <is>
          <t>ULRICEHAMN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46291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45411</v>
      </c>
      <c r="E302" s="1" t="n">
        <v>46291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45411</v>
      </c>
      <c r="E303" s="1" t="n">
        <v>46291</v>
      </c>
      <c r="F303" t="inlineStr">
        <is>
          <t>VÄSTRA GÖTALANDS LÄN</t>
        </is>
      </c>
      <c r="G303" t="inlineStr">
        <is>
          <t>ULRICEHAMN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45474</v>
      </c>
      <c r="E304" s="1" t="n">
        <v>46291</v>
      </c>
      <c r="F304" t="inlineStr">
        <is>
          <t>VÄSTRA GÖTALANDS LÄN</t>
        </is>
      </c>
      <c r="G304" t="inlineStr">
        <is>
          <t>ULRICEHAMN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46291</v>
      </c>
      <c r="F305" t="inlineStr">
        <is>
          <t>VÄSTRA GÖTALANDS LÄN</t>
        </is>
      </c>
      <c r="G305" t="inlineStr">
        <is>
          <t>ULRICEHAMN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46128</v>
      </c>
      <c r="E306" s="1" t="n">
        <v>46291</v>
      </c>
      <c r="F306" t="inlineStr">
        <is>
          <t>VÄSTRA GÖTALANDS LÄN</t>
        </is>
      </c>
      <c r="G306" t="inlineStr">
        <is>
          <t>ULRICEHAMN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56418-2025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46291</v>
      </c>
      <c r="F307" t="inlineStr">
        <is>
          <t>VÄSTRA GÖTALANDS LÄN</t>
        </is>
      </c>
      <c r="G307" t="inlineStr">
        <is>
          <t>ULRICEHAMN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46291</v>
      </c>
      <c r="F308" t="inlineStr">
        <is>
          <t>VÄSTRA GÖTALANDS LÄN</t>
        </is>
      </c>
      <c r="G308" t="inlineStr">
        <is>
          <t>ULRICEHAMN</t>
        </is>
      </c>
      <c r="H308" t="inlineStr">
        <is>
          <t>Kommuner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46291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46291</v>
      </c>
      <c r="F310" t="inlineStr">
        <is>
          <t>VÄSTRA GÖTALANDS LÄN</t>
        </is>
      </c>
      <c r="G310" t="inlineStr">
        <is>
          <t>ULRICEHAMN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46291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949-2025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45666</v>
      </c>
      <c r="E312" s="1" t="n">
        <v>46291</v>
      </c>
      <c r="F312" t="inlineStr">
        <is>
          <t>VÄSTRA GÖTALANDS LÄN</t>
        </is>
      </c>
      <c r="G312" t="inlineStr">
        <is>
          <t>ULRICEHAMN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46291</v>
      </c>
      <c r="F313" t="inlineStr">
        <is>
          <t>VÄSTRA GÖTALANDS LÄN</t>
        </is>
      </c>
      <c r="G313" t="inlineStr">
        <is>
          <t>ULRICEHAMN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17236-2023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46291</v>
      </c>
      <c r="F314" t="inlineStr">
        <is>
          <t>VÄSTRA GÖTALANDS LÄN</t>
        </is>
      </c>
      <c r="G314" t="inlineStr">
        <is>
          <t>ULRICEHAMN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45573</v>
      </c>
      <c r="E315" s="1" t="n">
        <v>46291</v>
      </c>
      <c r="F315" t="inlineStr">
        <is>
          <t>VÄSTRA GÖTALANDS LÄN</t>
        </is>
      </c>
      <c r="G315" t="inlineStr">
        <is>
          <t>ULRICEHAMN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46291</v>
      </c>
      <c r="F316" t="inlineStr">
        <is>
          <t>VÄSTRA GÖTALANDS LÄN</t>
        </is>
      </c>
      <c r="G316" t="inlineStr">
        <is>
          <t>ULRICEHAMN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45158</v>
      </c>
      <c r="E317" s="1" t="n">
        <v>46291</v>
      </c>
      <c r="F317" t="inlineStr">
        <is>
          <t>VÄSTRA GÖTALANDS LÄN</t>
        </is>
      </c>
      <c r="G317" t="inlineStr">
        <is>
          <t>ULRICEHAMN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46291</v>
      </c>
      <c r="F318" t="inlineStr">
        <is>
          <t>VÄSTRA GÖTALANDS LÄN</t>
        </is>
      </c>
      <c r="G318" t="inlineStr">
        <is>
          <t>ULRICEHAMN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46291</v>
      </c>
      <c r="F319" t="inlineStr">
        <is>
          <t>VÄSTRA GÖTALANDS LÄN</t>
        </is>
      </c>
      <c r="G319" t="inlineStr">
        <is>
          <t>ULRICEHAMN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46291</v>
      </c>
      <c r="F320" t="inlineStr">
        <is>
          <t>VÄSTRA GÖTALANDS LÄN</t>
        </is>
      </c>
      <c r="G320" t="inlineStr">
        <is>
          <t>ULRICEHAMN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46291</v>
      </c>
      <c r="F321" t="inlineStr">
        <is>
          <t>VÄSTRA GÖTALANDS LÄN</t>
        </is>
      </c>
      <c r="G321" t="inlineStr">
        <is>
          <t>ULRICEHAMN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45606</v>
      </c>
      <c r="E322" s="1" t="n">
        <v>46291</v>
      </c>
      <c r="F322" t="inlineStr">
        <is>
          <t>VÄSTRA GÖTALANDS LÄN</t>
        </is>
      </c>
      <c r="G322" t="inlineStr">
        <is>
          <t>ULRICEHAMN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46291</v>
      </c>
      <c r="F323" t="inlineStr">
        <is>
          <t>VÄSTRA GÖTALANDS LÄN</t>
        </is>
      </c>
      <c r="G323" t="inlineStr">
        <is>
          <t>ULRICEHAMN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46291</v>
      </c>
      <c r="F324" t="inlineStr">
        <is>
          <t>VÄSTRA GÖTALANDS LÄN</t>
        </is>
      </c>
      <c r="G324" t="inlineStr">
        <is>
          <t>ULRICEHAMN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46291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46291</v>
      </c>
      <c r="F326" t="inlineStr">
        <is>
          <t>VÄSTRA GÖTALANDS LÄN</t>
        </is>
      </c>
      <c r="G326" t="inlineStr">
        <is>
          <t>ULRICEHAMN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46291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46291</v>
      </c>
      <c r="F328" t="inlineStr">
        <is>
          <t>VÄSTRA GÖTALANDS LÄN</t>
        </is>
      </c>
      <c r="G328" t="inlineStr">
        <is>
          <t>ULRICEHAMN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60704-2025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45996</v>
      </c>
      <c r="E329" s="1" t="n">
        <v>46291</v>
      </c>
      <c r="F329" t="inlineStr">
        <is>
          <t>VÄSTRA GÖTALANDS LÄN</t>
        </is>
      </c>
      <c r="G329" t="inlineStr">
        <is>
          <t>ULRICEHAMN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46291</v>
      </c>
      <c r="F330" t="inlineStr">
        <is>
          <t>VÄSTRA GÖTALANDS LÄN</t>
        </is>
      </c>
      <c r="G330" t="inlineStr">
        <is>
          <t>ULRICEHAMN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46291</v>
      </c>
      <c r="F331" t="inlineStr">
        <is>
          <t>VÄSTRA GÖTALANDS LÄN</t>
        </is>
      </c>
      <c r="G331" t="inlineStr">
        <is>
          <t>ULRICEHAMN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49768-2023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46291</v>
      </c>
      <c r="F332" t="inlineStr">
        <is>
          <t>VÄSTRA GÖTALANDS LÄN</t>
        </is>
      </c>
      <c r="G332" t="inlineStr">
        <is>
          <t>ULRICEHAMN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55997-2021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44477</v>
      </c>
      <c r="E333" s="1" t="n">
        <v>46291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44812</v>
      </c>
      <c r="E334" s="1" t="n">
        <v>46291</v>
      </c>
      <c r="F334" t="inlineStr">
        <is>
          <t>VÄSTRA GÖTALANDS LÄN</t>
        </is>
      </c>
      <c r="G334" t="inlineStr">
        <is>
          <t>ULRICEHAMN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45225</v>
      </c>
      <c r="E335" s="1" t="n">
        <v>46291</v>
      </c>
      <c r="F335" t="inlineStr">
        <is>
          <t>VÄSTRA GÖTALANDS LÄN</t>
        </is>
      </c>
      <c r="G335" t="inlineStr">
        <is>
          <t>ULRICEHAMN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45691</v>
      </c>
      <c r="E336" s="1" t="n">
        <v>46291</v>
      </c>
      <c r="F336" t="inlineStr">
        <is>
          <t>VÄSTRA GÖTALANDS LÄN</t>
        </is>
      </c>
      <c r="G336" t="inlineStr">
        <is>
          <t>ULRICEHAMN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45691</v>
      </c>
      <c r="E337" s="1" t="n">
        <v>46291</v>
      </c>
      <c r="F337" t="inlineStr">
        <is>
          <t>VÄSTRA GÖTALANDS LÄN</t>
        </is>
      </c>
      <c r="G337" t="inlineStr">
        <is>
          <t>ULRICEHAMN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46291</v>
      </c>
      <c r="F338" t="inlineStr">
        <is>
          <t>VÄSTRA GÖTALANDS LÄN</t>
        </is>
      </c>
      <c r="G338" t="inlineStr">
        <is>
          <t>ULRICEHAMN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46291</v>
      </c>
      <c r="F339" t="inlineStr">
        <is>
          <t>VÄSTRA GÖTALANDS LÄN</t>
        </is>
      </c>
      <c r="G339" t="inlineStr">
        <is>
          <t>ULRICEHAMN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46291</v>
      </c>
      <c r="F340" t="inlineStr">
        <is>
          <t>VÄSTRA GÖTALANDS LÄN</t>
        </is>
      </c>
      <c r="G340" t="inlineStr">
        <is>
          <t>ULRICEHAMN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46291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46291</v>
      </c>
      <c r="F342" t="inlineStr">
        <is>
          <t>VÄSTRA GÖTALANDS LÄN</t>
        </is>
      </c>
      <c r="G342" t="inlineStr">
        <is>
          <t>ULRICEHAMN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45043</v>
      </c>
      <c r="E343" s="1" t="n">
        <v>46291</v>
      </c>
      <c r="F343" t="inlineStr">
        <is>
          <t>VÄSTRA GÖTALANDS LÄN</t>
        </is>
      </c>
      <c r="G343" t="inlineStr">
        <is>
          <t>ULRICEHAMN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44810</v>
      </c>
      <c r="E344" s="1" t="n">
        <v>46291</v>
      </c>
      <c r="F344" t="inlineStr">
        <is>
          <t>VÄSTRA GÖTALANDS LÄN</t>
        </is>
      </c>
      <c r="G344" t="inlineStr">
        <is>
          <t>ULRICEHAMN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52172-2023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45224</v>
      </c>
      <c r="E345" s="1" t="n">
        <v>46291</v>
      </c>
      <c r="F345" t="inlineStr">
        <is>
          <t>VÄSTRA GÖTALANDS LÄN</t>
        </is>
      </c>
      <c r="G345" t="inlineStr">
        <is>
          <t>ULRICEHAMN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46291</v>
      </c>
      <c r="F346" t="inlineStr">
        <is>
          <t>VÄSTRA GÖTALANDS LÄN</t>
        </is>
      </c>
      <c r="G346" t="inlineStr">
        <is>
          <t>ULRICEHAMN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46291</v>
      </c>
      <c r="F347" t="inlineStr">
        <is>
          <t>VÄSTRA GÖTALANDS LÄN</t>
        </is>
      </c>
      <c r="G347" t="inlineStr">
        <is>
          <t>ULRICEHAMN</t>
        </is>
      </c>
      <c r="I347" t="n">
        <v>14.7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46291</v>
      </c>
      <c r="F348" t="inlineStr">
        <is>
          <t>VÄSTRA GÖTALANDS LÄN</t>
        </is>
      </c>
      <c r="G348" t="inlineStr">
        <is>
          <t>ULRICEHAMN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45299</v>
      </c>
      <c r="E349" s="1" t="n">
        <v>46291</v>
      </c>
      <c r="F349" t="inlineStr">
        <is>
          <t>VÄSTRA GÖTALANDS LÄN</t>
        </is>
      </c>
      <c r="G349" t="inlineStr">
        <is>
          <t>ULRICEHAMN</t>
        </is>
      </c>
      <c r="I349" t="n">
        <v>9.699999999999999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46291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45691</v>
      </c>
      <c r="E351" s="1" t="n">
        <v>46291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46291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46291</v>
      </c>
      <c r="F353" t="inlineStr">
        <is>
          <t>VÄSTRA GÖTALANDS LÄN</t>
        </is>
      </c>
      <c r="G353" t="inlineStr">
        <is>
          <t>ULRICEHAMN</t>
        </is>
      </c>
      <c r="I353" t="n">
        <v>14.8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45237</v>
      </c>
      <c r="E354" s="1" t="n">
        <v>46291</v>
      </c>
      <c r="F354" t="inlineStr">
        <is>
          <t>VÄSTRA GÖTALANDS LÄN</t>
        </is>
      </c>
      <c r="G354" t="inlineStr">
        <is>
          <t>ULRICEHAMN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46291</v>
      </c>
      <c r="F355" t="inlineStr">
        <is>
          <t>VÄSTRA GÖTALANDS LÄN</t>
        </is>
      </c>
      <c r="G355" t="inlineStr">
        <is>
          <t>ULRICEHAMN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22416-2023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45070</v>
      </c>
      <c r="E356" s="1" t="n">
        <v>46291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46291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46291</v>
      </c>
      <c r="F358" t="inlineStr">
        <is>
          <t>VÄSTRA GÖTALANDS LÄN</t>
        </is>
      </c>
      <c r="G358" t="inlineStr">
        <is>
          <t>ULRICEHAMN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46291</v>
      </c>
      <c r="F359" t="inlineStr">
        <is>
          <t>VÄSTRA GÖTALANDS LÄN</t>
        </is>
      </c>
      <c r="G359" t="inlineStr">
        <is>
          <t>ULRICEHAMN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45223</v>
      </c>
      <c r="E360" s="1" t="n">
        <v>46291</v>
      </c>
      <c r="F360" t="inlineStr">
        <is>
          <t>VÄSTRA GÖTALANDS LÄN</t>
        </is>
      </c>
      <c r="G360" t="inlineStr">
        <is>
          <t>ULRICEHAMN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46291</v>
      </c>
      <c r="F361" t="inlineStr">
        <is>
          <t>VÄSTRA GÖTALANDS LÄN</t>
        </is>
      </c>
      <c r="G361" t="inlineStr">
        <is>
          <t>ULRICEHAMN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45140</v>
      </c>
      <c r="E362" s="1" t="n">
        <v>46291</v>
      </c>
      <c r="F362" t="inlineStr">
        <is>
          <t>VÄSTRA GÖTALANDS LÄN</t>
        </is>
      </c>
      <c r="G362" t="inlineStr">
        <is>
          <t>ULRICEHAMN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46291</v>
      </c>
      <c r="F363" t="inlineStr">
        <is>
          <t>VÄSTRA GÖTALANDS LÄN</t>
        </is>
      </c>
      <c r="G363" t="inlineStr">
        <is>
          <t>ULRICEHAMN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45720</v>
      </c>
      <c r="E364" s="1" t="n">
        <v>46291</v>
      </c>
      <c r="F364" t="inlineStr">
        <is>
          <t>VÄSTRA GÖTALANDS LÄN</t>
        </is>
      </c>
      <c r="G364" t="inlineStr">
        <is>
          <t>ULRICEHAMN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45008</v>
      </c>
      <c r="E365" s="1" t="n">
        <v>46291</v>
      </c>
      <c r="F365" t="inlineStr">
        <is>
          <t>VÄSTRA GÖTALANDS LÄN</t>
        </is>
      </c>
      <c r="G365" t="inlineStr">
        <is>
          <t>ULRICEHAMN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45134</v>
      </c>
      <c r="E366" s="1" t="n">
        <v>46291</v>
      </c>
      <c r="F366" t="inlineStr">
        <is>
          <t>VÄSTRA GÖTALANDS LÄN</t>
        </is>
      </c>
      <c r="G366" t="inlineStr">
        <is>
          <t>ULRICEHAMN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45743</v>
      </c>
      <c r="E367" s="1" t="n">
        <v>46291</v>
      </c>
      <c r="F367" t="inlineStr">
        <is>
          <t>VÄSTRA GÖTALANDS LÄN</t>
        </is>
      </c>
      <c r="G367" t="inlineStr">
        <is>
          <t>ULRICEHAMN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46291</v>
      </c>
      <c r="F368" t="inlineStr">
        <is>
          <t>VÄSTRA GÖTALANDS LÄN</t>
        </is>
      </c>
      <c r="G368" t="inlineStr">
        <is>
          <t>ULRICEHAMN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46291</v>
      </c>
      <c r="F369" t="inlineStr">
        <is>
          <t>VÄSTRA GÖTALANDS LÄN</t>
        </is>
      </c>
      <c r="G369" t="inlineStr">
        <is>
          <t>ULRICEHAMN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46291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46291</v>
      </c>
      <c r="F371" t="inlineStr">
        <is>
          <t>VÄSTRA GÖTALANDS LÄN</t>
        </is>
      </c>
      <c r="G371" t="inlineStr">
        <is>
          <t>ULRICEHAMN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46291</v>
      </c>
      <c r="F372" t="inlineStr">
        <is>
          <t>VÄSTRA GÖTALANDS LÄN</t>
        </is>
      </c>
      <c r="G372" t="inlineStr">
        <is>
          <t>ULRICEHAMN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69114-2021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44530</v>
      </c>
      <c r="E373" s="1" t="n">
        <v>46291</v>
      </c>
      <c r="F373" t="inlineStr">
        <is>
          <t>VÄSTRA GÖTALANDS LÄN</t>
        </is>
      </c>
      <c r="G373" t="inlineStr">
        <is>
          <t>ULRICEHAMN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45033</v>
      </c>
      <c r="E374" s="1" t="n">
        <v>46291</v>
      </c>
      <c r="F374" t="inlineStr">
        <is>
          <t>VÄSTRA GÖTALANDS LÄN</t>
        </is>
      </c>
      <c r="G374" t="inlineStr">
        <is>
          <t>ULRICEHAMN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36833-2024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45538</v>
      </c>
      <c r="E375" s="1" t="n">
        <v>46291</v>
      </c>
      <c r="F375" t="inlineStr">
        <is>
          <t>VÄSTRA GÖTALANDS LÄN</t>
        </is>
      </c>
      <c r="G375" t="inlineStr">
        <is>
          <t>ULRICEHAMN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46291</v>
      </c>
      <c r="F376" t="inlineStr">
        <is>
          <t>VÄSTRA GÖTALANDS LÄN</t>
        </is>
      </c>
      <c r="G376" t="inlineStr">
        <is>
          <t>ULRICEHAMN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46291</v>
      </c>
      <c r="F377" t="inlineStr">
        <is>
          <t>VÄSTRA GÖTALANDS LÄN</t>
        </is>
      </c>
      <c r="G377" t="inlineStr">
        <is>
          <t>ULRICEHAMN</t>
        </is>
      </c>
      <c r="I377" t="n">
        <v>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44882</v>
      </c>
      <c r="E378" s="1" t="n">
        <v>46291</v>
      </c>
      <c r="F378" t="inlineStr">
        <is>
          <t>VÄSTRA GÖTALANDS LÄN</t>
        </is>
      </c>
      <c r="G378" t="inlineStr">
        <is>
          <t>ULRICEHAMN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61773-2022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46291</v>
      </c>
      <c r="F379" t="inlineStr">
        <is>
          <t>VÄSTRA GÖTALANDS LÄN</t>
        </is>
      </c>
      <c r="G379" t="inlineStr">
        <is>
          <t>ULRICEHAMN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46291</v>
      </c>
      <c r="F380" t="inlineStr">
        <is>
          <t>VÄSTRA GÖTALANDS LÄN</t>
        </is>
      </c>
      <c r="G380" t="inlineStr">
        <is>
          <t>ULRICEHAMN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46291</v>
      </c>
      <c r="F381" t="inlineStr">
        <is>
          <t>VÄSTRA GÖTALANDS LÄN</t>
        </is>
      </c>
      <c r="G381" t="inlineStr">
        <is>
          <t>ULRICEHAMN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45086</v>
      </c>
      <c r="E382" s="1" t="n">
        <v>46291</v>
      </c>
      <c r="F382" t="inlineStr">
        <is>
          <t>VÄSTRA GÖTALANDS LÄN</t>
        </is>
      </c>
      <c r="G382" t="inlineStr">
        <is>
          <t>ULRICEHAMN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46291</v>
      </c>
      <c r="F383" t="inlineStr">
        <is>
          <t>VÄSTRA GÖTALANDS LÄN</t>
        </is>
      </c>
      <c r="G383" t="inlineStr">
        <is>
          <t>ULRICEHAMN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46291</v>
      </c>
      <c r="F384" t="inlineStr">
        <is>
          <t>VÄSTRA GÖTALANDS LÄN</t>
        </is>
      </c>
      <c r="G384" t="inlineStr">
        <is>
          <t>ULRICEHAMN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31615-2025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46291</v>
      </c>
      <c r="F385" t="inlineStr">
        <is>
          <t>VÄSTRA GÖTALANDS LÄN</t>
        </is>
      </c>
      <c r="G385" t="inlineStr">
        <is>
          <t>ULRICEHAMN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46291</v>
      </c>
      <c r="F386" t="inlineStr">
        <is>
          <t>VÄSTRA GÖTALANDS LÄN</t>
        </is>
      </c>
      <c r="G386" t="inlineStr">
        <is>
          <t>ULRICEHAMN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26749-2023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46291</v>
      </c>
      <c r="F387" t="inlineStr">
        <is>
          <t>VÄSTRA GÖTALANDS LÄN</t>
        </is>
      </c>
      <c r="G387" t="inlineStr">
        <is>
          <t>ULRICEHAMN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14599-2024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45395</v>
      </c>
      <c r="E388" s="1" t="n">
        <v>46291</v>
      </c>
      <c r="F388" t="inlineStr">
        <is>
          <t>VÄSTRA GÖTALANDS LÄN</t>
        </is>
      </c>
      <c r="G388" t="inlineStr">
        <is>
          <t>ULRICEHAMN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32208-2025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46291</v>
      </c>
      <c r="F389" t="inlineStr">
        <is>
          <t>VÄSTRA GÖTALANDS LÄN</t>
        </is>
      </c>
      <c r="G389" t="inlineStr">
        <is>
          <t>ULRICEHAMN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46291</v>
      </c>
      <c r="F390" t="inlineStr">
        <is>
          <t>VÄSTRA GÖTALANDS LÄN</t>
        </is>
      </c>
      <c r="G390" t="inlineStr">
        <is>
          <t>ULRICEHAMN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46291</v>
      </c>
      <c r="F391" t="inlineStr">
        <is>
          <t>VÄSTRA GÖTALANDS LÄN</t>
        </is>
      </c>
      <c r="G391" t="inlineStr">
        <is>
          <t>ULRICEHAMN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46291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46291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45961</v>
      </c>
      <c r="E394" s="1" t="n">
        <v>46291</v>
      </c>
      <c r="F394" t="inlineStr">
        <is>
          <t>VÄSTRA GÖTALANDS LÄN</t>
        </is>
      </c>
      <c r="G394" t="inlineStr">
        <is>
          <t>ULRICEHAMN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46291</v>
      </c>
      <c r="F395" t="inlineStr">
        <is>
          <t>VÄSTRA GÖTALANDS LÄN</t>
        </is>
      </c>
      <c r="G395" t="inlineStr">
        <is>
          <t>ULRICEHAMN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46291</v>
      </c>
      <c r="F396" t="inlineStr">
        <is>
          <t>VÄSTRA GÖTALANDS LÄN</t>
        </is>
      </c>
      <c r="G396" t="inlineStr">
        <is>
          <t>ULRICEHAMN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32293-2025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46291</v>
      </c>
      <c r="F397" t="inlineStr">
        <is>
          <t>VÄSTRA GÖTALANDS LÄN</t>
        </is>
      </c>
      <c r="G397" t="inlineStr">
        <is>
          <t>ULRICEHAMN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46291</v>
      </c>
      <c r="F398" t="inlineStr">
        <is>
          <t>VÄSTRA GÖTALANDS LÄN</t>
        </is>
      </c>
      <c r="G398" t="inlineStr">
        <is>
          <t>ULRICEHAMN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46291</v>
      </c>
      <c r="F399" t="inlineStr">
        <is>
          <t>VÄSTRA GÖTALANDS LÄN</t>
        </is>
      </c>
      <c r="G399" t="inlineStr">
        <is>
          <t>ULRICEHAMN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32621-2025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45838</v>
      </c>
      <c r="E400" s="1" t="n">
        <v>46291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45838</v>
      </c>
      <c r="E401" s="1" t="n">
        <v>46291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46291</v>
      </c>
      <c r="F402" t="inlineStr">
        <is>
          <t>VÄSTRA GÖTALANDS LÄN</t>
        </is>
      </c>
      <c r="G402" t="inlineStr">
        <is>
          <t>ULRICEHAMN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45590</v>
      </c>
      <c r="E403" s="1" t="n">
        <v>46291</v>
      </c>
      <c r="F403" t="inlineStr">
        <is>
          <t>VÄSTRA GÖTALANDS LÄN</t>
        </is>
      </c>
      <c r="G403" t="inlineStr">
        <is>
          <t>ULRICEHAMN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46291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46291</v>
      </c>
      <c r="F405" t="inlineStr">
        <is>
          <t>VÄSTRA GÖTALANDS LÄN</t>
        </is>
      </c>
      <c r="G405" t="inlineStr">
        <is>
          <t>ULRICEHAMN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45071</v>
      </c>
      <c r="E406" s="1" t="n">
        <v>46291</v>
      </c>
      <c r="F406" t="inlineStr">
        <is>
          <t>VÄSTRA GÖTALANDS LÄN</t>
        </is>
      </c>
      <c r="G406" t="inlineStr">
        <is>
          <t>ULRICEHAMN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44959</v>
      </c>
      <c r="E407" s="1" t="n">
        <v>46291</v>
      </c>
      <c r="F407" t="inlineStr">
        <is>
          <t>VÄSTRA GÖTALANDS LÄN</t>
        </is>
      </c>
      <c r="G407" t="inlineStr">
        <is>
          <t>ULRICEHAMN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33631-2025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45841</v>
      </c>
      <c r="E408" s="1" t="n">
        <v>46291</v>
      </c>
      <c r="F408" t="inlineStr">
        <is>
          <t>VÄSTRA GÖTALANDS LÄN</t>
        </is>
      </c>
      <c r="G408" t="inlineStr">
        <is>
          <t>ULRICEHAMN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46291</v>
      </c>
      <c r="F409" t="inlineStr">
        <is>
          <t>VÄSTRA GÖTALANDS LÄN</t>
        </is>
      </c>
      <c r="G409" t="inlineStr">
        <is>
          <t>ULRICEHAMN</t>
        </is>
      </c>
      <c r="I409" t="n">
        <v>16.7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46291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46291</v>
      </c>
      <c r="F411" t="inlineStr">
        <is>
          <t>VÄSTRA GÖTALANDS LÄN</t>
        </is>
      </c>
      <c r="G411" t="inlineStr">
        <is>
          <t>ULRICEHAMN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46291</v>
      </c>
      <c r="F412" t="inlineStr">
        <is>
          <t>VÄSTRA GÖTALANDS LÄN</t>
        </is>
      </c>
      <c r="G412" t="inlineStr">
        <is>
          <t>ULRICEHAMN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45663</v>
      </c>
      <c r="E413" s="1" t="n">
        <v>46291</v>
      </c>
      <c r="F413" t="inlineStr">
        <is>
          <t>VÄSTRA GÖTALANDS LÄN</t>
        </is>
      </c>
      <c r="G413" t="inlineStr">
        <is>
          <t>ULRICEHAMN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45784</v>
      </c>
      <c r="E414" s="1" t="n">
        <v>46291</v>
      </c>
      <c r="F414" t="inlineStr">
        <is>
          <t>VÄSTRA GÖTALANDS LÄN</t>
        </is>
      </c>
      <c r="G414" t="inlineStr">
        <is>
          <t>ULRICEHAMN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46291</v>
      </c>
      <c r="F415" t="inlineStr">
        <is>
          <t>VÄSTRA GÖTALANDS LÄN</t>
        </is>
      </c>
      <c r="G415" t="inlineStr">
        <is>
          <t>ULRICEHAMN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45663</v>
      </c>
      <c r="E416" s="1" t="n">
        <v>46291</v>
      </c>
      <c r="F416" t="inlineStr">
        <is>
          <t>VÄSTRA GÖTALANDS LÄN</t>
        </is>
      </c>
      <c r="G416" t="inlineStr">
        <is>
          <t>ULRICEHAMN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46291</v>
      </c>
      <c r="F417" t="inlineStr">
        <is>
          <t>VÄSTRA GÖTALANDS LÄN</t>
        </is>
      </c>
      <c r="G417" t="inlineStr">
        <is>
          <t>ULRICEHAMN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46291</v>
      </c>
      <c r="F418" t="inlineStr">
        <is>
          <t>VÄSTRA GÖTALANDS LÄN</t>
        </is>
      </c>
      <c r="G418" t="inlineStr">
        <is>
          <t>ULRICEHAMN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45856</v>
      </c>
      <c r="E419" s="1" t="n">
        <v>46291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45600</v>
      </c>
      <c r="E420" s="1" t="n">
        <v>46291</v>
      </c>
      <c r="F420" t="inlineStr">
        <is>
          <t>VÄSTRA GÖTALANDS LÄN</t>
        </is>
      </c>
      <c r="G420" t="inlineStr">
        <is>
          <t>ULRICEHAMN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56120-2021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44477</v>
      </c>
      <c r="E421" s="1" t="n">
        <v>46291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19867-2022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44697</v>
      </c>
      <c r="E422" s="1" t="n">
        <v>46291</v>
      </c>
      <c r="F422" t="inlineStr">
        <is>
          <t>VÄSTRA GÖTALANDS LÄN</t>
        </is>
      </c>
      <c r="G422" t="inlineStr">
        <is>
          <t>ULRICEHAMN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44944</v>
      </c>
      <c r="E423" s="1" t="n">
        <v>46291</v>
      </c>
      <c r="F423" t="inlineStr">
        <is>
          <t>VÄSTRA GÖTALANDS LÄN</t>
        </is>
      </c>
      <c r="G423" t="inlineStr">
        <is>
          <t>ULRICEHAMN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46291</v>
      </c>
      <c r="F424" t="inlineStr">
        <is>
          <t>VÄSTRA GÖTALANDS LÄN</t>
        </is>
      </c>
      <c r="G424" t="inlineStr">
        <is>
          <t>ULRICEHAMN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46291</v>
      </c>
      <c r="F425" t="inlineStr">
        <is>
          <t>VÄSTRA GÖTALANDS LÄN</t>
        </is>
      </c>
      <c r="G425" t="inlineStr">
        <is>
          <t>ULRICEHAMN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40031-2023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45168</v>
      </c>
      <c r="E426" s="1" t="n">
        <v>46291</v>
      </c>
      <c r="F426" t="inlineStr">
        <is>
          <t>VÄSTRA GÖTALANDS LÄN</t>
        </is>
      </c>
      <c r="G426" t="inlineStr">
        <is>
          <t>ULRICEHAMN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40035-2023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45168</v>
      </c>
      <c r="E427" s="1" t="n">
        <v>46291</v>
      </c>
      <c r="F427" t="inlineStr">
        <is>
          <t>VÄSTRA GÖTALANDS LÄN</t>
        </is>
      </c>
      <c r="G427" t="inlineStr">
        <is>
          <t>ULRICEHAMN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45862</v>
      </c>
      <c r="E428" s="1" t="n">
        <v>46291</v>
      </c>
      <c r="F428" t="inlineStr">
        <is>
          <t>VÄSTRA GÖTALANDS LÄN</t>
        </is>
      </c>
      <c r="G428" t="inlineStr">
        <is>
          <t>ULRICEHAMN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38182-2023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46291</v>
      </c>
      <c r="F429" t="inlineStr">
        <is>
          <t>VÄSTRA GÖTALANDS LÄN</t>
        </is>
      </c>
      <c r="G429" t="inlineStr">
        <is>
          <t>ULRICEHAMN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19864-2025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45771</v>
      </c>
      <c r="E430" s="1" t="n">
        <v>46291</v>
      </c>
      <c r="F430" t="inlineStr">
        <is>
          <t>VÄSTRA GÖTALANDS LÄN</t>
        </is>
      </c>
      <c r="G430" t="inlineStr">
        <is>
          <t>ULRICEHAMN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38640-2023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45162</v>
      </c>
      <c r="E431" s="1" t="n">
        <v>46291</v>
      </c>
      <c r="F431" t="inlineStr">
        <is>
          <t>VÄSTRA GÖTALANDS LÄN</t>
        </is>
      </c>
      <c r="G431" t="inlineStr">
        <is>
          <t>ULRICEHAMN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46291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9994-2024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46291</v>
      </c>
      <c r="F433" t="inlineStr">
        <is>
          <t>VÄSTRA GÖTALANDS LÄN</t>
        </is>
      </c>
      <c r="G433" t="inlineStr">
        <is>
          <t>ULRICEHAMN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46291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36080-2025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46291</v>
      </c>
      <c r="F435" t="inlineStr">
        <is>
          <t>VÄSTRA GÖTALANDS LÄN</t>
        </is>
      </c>
      <c r="G435" t="inlineStr">
        <is>
          <t>ULRICEHAMN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36067-2025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45866</v>
      </c>
      <c r="E436" s="1" t="n">
        <v>46291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44947</v>
      </c>
      <c r="E437" s="1" t="n">
        <v>46291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45868</v>
      </c>
      <c r="E438" s="1" t="n">
        <v>46291</v>
      </c>
      <c r="F438" t="inlineStr">
        <is>
          <t>VÄSTRA GÖTALANDS LÄN</t>
        </is>
      </c>
      <c r="G438" t="inlineStr">
        <is>
          <t>ULRICEHAMN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44959</v>
      </c>
      <c r="E439" s="1" t="n">
        <v>46291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44971</v>
      </c>
      <c r="E440" s="1" t="n">
        <v>46291</v>
      </c>
      <c r="F440" t="inlineStr">
        <is>
          <t>VÄSTRA GÖTALANDS LÄN</t>
        </is>
      </c>
      <c r="G440" t="inlineStr">
        <is>
          <t>ULRICEHAMN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46291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45157</v>
      </c>
      <c r="E442" s="1" t="n">
        <v>46291</v>
      </c>
      <c r="F442" t="inlineStr">
        <is>
          <t>VÄSTRA GÖTALANDS LÄN</t>
        </is>
      </c>
      <c r="G442" t="inlineStr">
        <is>
          <t>ULRICEHAMN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46291</v>
      </c>
      <c r="F443" t="inlineStr">
        <is>
          <t>VÄSTRA GÖTALANDS LÄN</t>
        </is>
      </c>
      <c r="G443" t="inlineStr">
        <is>
          <t>ULRICEHAMN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45134</v>
      </c>
      <c r="E444" s="1" t="n">
        <v>46291</v>
      </c>
      <c r="F444" t="inlineStr">
        <is>
          <t>VÄSTRA GÖTALANDS LÄN</t>
        </is>
      </c>
      <c r="G444" t="inlineStr">
        <is>
          <t>ULRICEHAMN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45180</v>
      </c>
      <c r="E445" s="1" t="n">
        <v>46291</v>
      </c>
      <c r="F445" t="inlineStr">
        <is>
          <t>VÄSTRA GÖTALANDS LÄN</t>
        </is>
      </c>
      <c r="G445" t="inlineStr">
        <is>
          <t>ULRICEHAMN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46291</v>
      </c>
      <c r="F446" t="inlineStr">
        <is>
          <t>VÄSTRA GÖTALANDS LÄN</t>
        </is>
      </c>
      <c r="G446" t="inlineStr">
        <is>
          <t>ULRICEHAMN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46291</v>
      </c>
      <c r="F447" t="inlineStr">
        <is>
          <t>VÄSTRA GÖTALANDS LÄN</t>
        </is>
      </c>
      <c r="G447" t="inlineStr">
        <is>
          <t>ULRICEHAMN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60409-2024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46291</v>
      </c>
      <c r="F448" t="inlineStr">
        <is>
          <t>VÄSTRA GÖTALANDS LÄN</t>
        </is>
      </c>
      <c r="G448" t="inlineStr">
        <is>
          <t>ULRICEHAMN</t>
        </is>
      </c>
      <c r="I448" t="n">
        <v>10.7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45227</v>
      </c>
      <c r="E449" s="1" t="n">
        <v>46291</v>
      </c>
      <c r="F449" t="inlineStr">
        <is>
          <t>VÄSTRA GÖTALANDS LÄN</t>
        </is>
      </c>
      <c r="G449" t="inlineStr">
        <is>
          <t>ULRICEHAMN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46291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Sveaskog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46291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45399</v>
      </c>
      <c r="E452" s="1" t="n">
        <v>46291</v>
      </c>
      <c r="F452" t="inlineStr">
        <is>
          <t>VÄSTRA GÖTALANDS LÄN</t>
        </is>
      </c>
      <c r="G452" t="inlineStr">
        <is>
          <t>ULRICEHAMN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46291</v>
      </c>
      <c r="F453" t="inlineStr">
        <is>
          <t>VÄSTRA GÖTALANDS LÄN</t>
        </is>
      </c>
      <c r="G453" t="inlineStr">
        <is>
          <t>ULRICEHAMN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45043</v>
      </c>
      <c r="E454" s="1" t="n">
        <v>46291</v>
      </c>
      <c r="F454" t="inlineStr">
        <is>
          <t>VÄSTRA GÖTALANDS LÄN</t>
        </is>
      </c>
      <c r="G454" t="inlineStr">
        <is>
          <t>ULRICEHAMN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46291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Kyrkan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46291</v>
      </c>
      <c r="F456" t="inlineStr">
        <is>
          <t>VÄSTRA GÖTALANDS LÄN</t>
        </is>
      </c>
      <c r="G456" t="inlineStr">
        <is>
          <t>ULRICEHAMN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46291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46291</v>
      </c>
      <c r="F458" t="inlineStr">
        <is>
          <t>VÄSTRA GÖTALANDS LÄN</t>
        </is>
      </c>
      <c r="G458" t="inlineStr">
        <is>
          <t>ULRICEHAMN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46291</v>
      </c>
      <c r="F459" t="inlineStr">
        <is>
          <t>VÄSTRA GÖTALANDS LÄN</t>
        </is>
      </c>
      <c r="G459" t="inlineStr">
        <is>
          <t>ULRICEHAMN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46291</v>
      </c>
      <c r="F460" t="inlineStr">
        <is>
          <t>VÄSTRA GÖTALANDS LÄN</t>
        </is>
      </c>
      <c r="G460" t="inlineStr">
        <is>
          <t>ULRICEHAMN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45659</v>
      </c>
      <c r="E461" s="1" t="n">
        <v>46291</v>
      </c>
      <c r="F461" t="inlineStr">
        <is>
          <t>VÄSTRA GÖTALANDS LÄN</t>
        </is>
      </c>
      <c r="G461" t="inlineStr">
        <is>
          <t>ULRICEHAMN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45585</v>
      </c>
      <c r="E462" s="1" t="n">
        <v>46291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45621</v>
      </c>
      <c r="E463" s="1" t="n">
        <v>46291</v>
      </c>
      <c r="F463" t="inlineStr">
        <is>
          <t>VÄSTRA GÖTALANDS LÄN</t>
        </is>
      </c>
      <c r="G463" t="inlineStr">
        <is>
          <t>ULRICEHAMN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46291</v>
      </c>
      <c r="F464" t="inlineStr">
        <is>
          <t>VÄSTRA GÖTALANDS LÄN</t>
        </is>
      </c>
      <c r="G464" t="inlineStr">
        <is>
          <t>ULRICEHAMN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37560-2025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45880</v>
      </c>
      <c r="E465" s="1" t="n">
        <v>46291</v>
      </c>
      <c r="F465" t="inlineStr">
        <is>
          <t>VÄSTRA GÖTALANDS LÄN</t>
        </is>
      </c>
      <c r="G465" t="inlineStr">
        <is>
          <t>ULRICEHAMN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20891-2023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45059</v>
      </c>
      <c r="E466" s="1" t="n">
        <v>46291</v>
      </c>
      <c r="F466" t="inlineStr">
        <is>
          <t>VÄSTRA GÖTALANDS LÄN</t>
        </is>
      </c>
      <c r="G466" t="inlineStr">
        <is>
          <t>ULRICEHAMN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45059</v>
      </c>
      <c r="E467" s="1" t="n">
        <v>46291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15736-2022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44663</v>
      </c>
      <c r="E468" s="1" t="n">
        <v>46291</v>
      </c>
      <c r="F468" t="inlineStr">
        <is>
          <t>VÄSTRA GÖTALANDS LÄN</t>
        </is>
      </c>
      <c r="G468" t="inlineStr">
        <is>
          <t>ULRICEHAMN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12169-2024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45377</v>
      </c>
      <c r="E469" s="1" t="n">
        <v>46291</v>
      </c>
      <c r="F469" t="inlineStr">
        <is>
          <t>VÄSTRA GÖTALANDS LÄN</t>
        </is>
      </c>
      <c r="G469" t="inlineStr">
        <is>
          <t>ULRICEHAMN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45377</v>
      </c>
      <c r="E470" s="1" t="n">
        <v>46291</v>
      </c>
      <c r="F470" t="inlineStr">
        <is>
          <t>VÄSTRA GÖTALANDS LÄN</t>
        </is>
      </c>
      <c r="G470" t="inlineStr">
        <is>
          <t>ULRICEHAMN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45377</v>
      </c>
      <c r="E471" s="1" t="n">
        <v>46291</v>
      </c>
      <c r="F471" t="inlineStr">
        <is>
          <t>VÄSTRA GÖTALANDS LÄN</t>
        </is>
      </c>
      <c r="G471" t="inlineStr">
        <is>
          <t>ULRICEHAMN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45471</v>
      </c>
      <c r="E472" s="1" t="n">
        <v>46291</v>
      </c>
      <c r="F472" t="inlineStr">
        <is>
          <t>VÄSTRA GÖTALANDS LÄN</t>
        </is>
      </c>
      <c r="G472" t="inlineStr">
        <is>
          <t>ULRICEHAMN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45558</v>
      </c>
      <c r="E473" s="1" t="n">
        <v>46291</v>
      </c>
      <c r="F473" t="inlineStr">
        <is>
          <t>VÄSTRA GÖTALANDS LÄN</t>
        </is>
      </c>
      <c r="G473" t="inlineStr">
        <is>
          <t>ULRICEHAMN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74199-2021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44558</v>
      </c>
      <c r="E474" s="1" t="n">
        <v>46291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46291</v>
      </c>
      <c r="F475" t="inlineStr">
        <is>
          <t>VÄSTRA GÖTALANDS LÄN</t>
        </is>
      </c>
      <c r="G475" t="inlineStr">
        <is>
          <t>ULRICEHAMN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46291</v>
      </c>
      <c r="F476" t="inlineStr">
        <is>
          <t>VÄSTRA GÖTALANDS LÄN</t>
        </is>
      </c>
      <c r="G476" t="inlineStr">
        <is>
          <t>ULRICEHAMN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46291</v>
      </c>
      <c r="F477" t="inlineStr">
        <is>
          <t>VÄSTRA GÖTALANDS LÄN</t>
        </is>
      </c>
      <c r="G477" t="inlineStr">
        <is>
          <t>ULRICEHAMN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46291</v>
      </c>
      <c r="F478" t="inlineStr">
        <is>
          <t>VÄSTRA GÖTALANDS LÄN</t>
        </is>
      </c>
      <c r="G478" t="inlineStr">
        <is>
          <t>ULRICEHAMN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46291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30664-2022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44763</v>
      </c>
      <c r="E480" s="1" t="n">
        <v>46291</v>
      </c>
      <c r="F480" t="inlineStr">
        <is>
          <t>VÄSTRA GÖTALANDS LÄN</t>
        </is>
      </c>
      <c r="G480" t="inlineStr">
        <is>
          <t>ULRICEHAMN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45412</v>
      </c>
      <c r="E481" s="1" t="n">
        <v>46291</v>
      </c>
      <c r="F481" t="inlineStr">
        <is>
          <t>VÄSTRA GÖTALANDS LÄN</t>
        </is>
      </c>
      <c r="G481" t="inlineStr">
        <is>
          <t>ULRICEHAMN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46291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45316</v>
      </c>
      <c r="E483" s="1" t="n">
        <v>46291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45225</v>
      </c>
      <c r="E484" s="1" t="n">
        <v>46291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46291</v>
      </c>
      <c r="F485" t="inlineStr">
        <is>
          <t>VÄSTRA GÖTALANDS LÄN</t>
        </is>
      </c>
      <c r="G485" t="inlineStr">
        <is>
          <t>ULRICEHAMN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37791-2023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45159</v>
      </c>
      <c r="E486" s="1" t="n">
        <v>46291</v>
      </c>
      <c r="F486" t="inlineStr">
        <is>
          <t>VÄSTRA GÖTALANDS LÄN</t>
        </is>
      </c>
      <c r="G486" t="inlineStr">
        <is>
          <t>ULRICEHAMN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45344</v>
      </c>
      <c r="E487" s="1" t="n">
        <v>46291</v>
      </c>
      <c r="F487" t="inlineStr">
        <is>
          <t>VÄSTRA GÖTALANDS LÄN</t>
        </is>
      </c>
      <c r="G487" t="inlineStr">
        <is>
          <t>ULRICEHAMN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40988-2023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45173</v>
      </c>
      <c r="E488" s="1" t="n">
        <v>46291</v>
      </c>
      <c r="F488" t="inlineStr">
        <is>
          <t>VÄSTRA GÖTALANDS LÄN</t>
        </is>
      </c>
      <c r="G488" t="inlineStr">
        <is>
          <t>ULRICEHAMN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39145-2023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46291</v>
      </c>
      <c r="F489" t="inlineStr">
        <is>
          <t>VÄSTRA GÖTALANDS LÄN</t>
        </is>
      </c>
      <c r="G489" t="inlineStr">
        <is>
          <t>ULRICEHAMN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46291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46291</v>
      </c>
      <c r="F491" t="inlineStr">
        <is>
          <t>VÄSTRA GÖTALANDS LÄN</t>
        </is>
      </c>
      <c r="G491" t="inlineStr">
        <is>
          <t>ULRICEHAMN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46291</v>
      </c>
      <c r="F492" t="inlineStr">
        <is>
          <t>VÄSTRA GÖTALANDS LÄN</t>
        </is>
      </c>
      <c r="G492" t="inlineStr">
        <is>
          <t>ULRICEHAMN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46291</v>
      </c>
      <c r="F493" t="inlineStr">
        <is>
          <t>VÄSTRA GÖTALANDS LÄN</t>
        </is>
      </c>
      <c r="G493" t="inlineStr">
        <is>
          <t>ULRICEHAMN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46291</v>
      </c>
      <c r="F494" t="inlineStr">
        <is>
          <t>VÄSTRA GÖTALANDS LÄN</t>
        </is>
      </c>
      <c r="G494" t="inlineStr">
        <is>
          <t>ULRICEHAMN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46291</v>
      </c>
      <c r="F495" t="inlineStr">
        <is>
          <t>VÄSTRA GÖTALANDS LÄN</t>
        </is>
      </c>
      <c r="G495" t="inlineStr">
        <is>
          <t>ULRICEHAMN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39464-2023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45166</v>
      </c>
      <c r="E496" s="1" t="n">
        <v>46291</v>
      </c>
      <c r="F496" t="inlineStr">
        <is>
          <t>VÄSTRA GÖTALANDS LÄN</t>
        </is>
      </c>
      <c r="G496" t="inlineStr">
        <is>
          <t>ULRICEHAMN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12551-2022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44638</v>
      </c>
      <c r="E497" s="1" t="n">
        <v>46291</v>
      </c>
      <c r="F497" t="inlineStr">
        <is>
          <t>VÄSTRA GÖTALANDS LÄN</t>
        </is>
      </c>
      <c r="G497" t="inlineStr">
        <is>
          <t>ULRICEHAMN</t>
        </is>
      </c>
      <c r="H497" t="inlineStr">
        <is>
          <t>Kommuner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12553-2022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44638</v>
      </c>
      <c r="E498" s="1" t="n">
        <v>46291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Kommuner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45231</v>
      </c>
      <c r="E499" s="1" t="n">
        <v>46291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Kommuner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45691</v>
      </c>
      <c r="E500" s="1" t="n">
        <v>46291</v>
      </c>
      <c r="F500" t="inlineStr">
        <is>
          <t>VÄSTRA GÖTALANDS LÄN</t>
        </is>
      </c>
      <c r="G500" t="inlineStr">
        <is>
          <t>ULRICEHAMN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45199</v>
      </c>
      <c r="E501" s="1" t="n">
        <v>46291</v>
      </c>
      <c r="F501" t="inlineStr">
        <is>
          <t>VÄSTRA GÖTALANDS LÄN</t>
        </is>
      </c>
      <c r="G501" t="inlineStr">
        <is>
          <t>ULRICEHAMN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43873-2023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46291</v>
      </c>
      <c r="F502" t="inlineStr">
        <is>
          <t>VÄSTRA GÖTALANDS LÄN</t>
        </is>
      </c>
      <c r="G502" t="inlineStr">
        <is>
          <t>ULRICEHAMN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46291</v>
      </c>
      <c r="F503" t="inlineStr">
        <is>
          <t>VÄSTRA GÖTALANDS LÄN</t>
        </is>
      </c>
      <c r="G503" t="inlineStr">
        <is>
          <t>ULRICEHAMN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18919-2024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45427</v>
      </c>
      <c r="E504" s="1" t="n">
        <v>46291</v>
      </c>
      <c r="F504" t="inlineStr">
        <is>
          <t>VÄSTRA GÖTALANDS LÄN</t>
        </is>
      </c>
      <c r="G504" t="inlineStr">
        <is>
          <t>ULRICEHAMN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46291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30205-2026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46291</v>
      </c>
      <c r="F506" t="inlineStr">
        <is>
          <t>VÄSTRA GÖTALANDS LÄN</t>
        </is>
      </c>
      <c r="G506" t="inlineStr">
        <is>
          <t>ULRICEHAMN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19038-2024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45427</v>
      </c>
      <c r="E507" s="1" t="n">
        <v>46291</v>
      </c>
      <c r="F507" t="inlineStr">
        <is>
          <t>VÄSTRA GÖTALANDS LÄN</t>
        </is>
      </c>
      <c r="G507" t="inlineStr">
        <is>
          <t>ULRICEHAMN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45666</v>
      </c>
      <c r="E508" s="1" t="n">
        <v>46291</v>
      </c>
      <c r="F508" t="inlineStr">
        <is>
          <t>VÄSTRA GÖTALANDS LÄN</t>
        </is>
      </c>
      <c r="G508" t="inlineStr">
        <is>
          <t>ULRICEHAMN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45676</v>
      </c>
      <c r="E509" s="1" t="n">
        <v>46291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34278-2026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46291</v>
      </c>
      <c r="F510" t="inlineStr">
        <is>
          <t>VÄSTRA GÖTALANDS LÄN</t>
        </is>
      </c>
      <c r="G510" t="inlineStr">
        <is>
          <t>ULRICEHAMN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46291</v>
      </c>
      <c r="F511" t="inlineStr">
        <is>
          <t>VÄSTRA GÖTALANDS LÄN</t>
        </is>
      </c>
      <c r="G511" t="inlineStr">
        <is>
          <t>ULRICEHAMN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45710</v>
      </c>
      <c r="E512" s="1" t="n">
        <v>46291</v>
      </c>
      <c r="F512" t="inlineStr">
        <is>
          <t>VÄSTRA GÖTALANDS LÄN</t>
        </is>
      </c>
      <c r="G512" t="inlineStr">
        <is>
          <t>ULRICEHAMN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45140</v>
      </c>
      <c r="E513" s="1" t="n">
        <v>46291</v>
      </c>
      <c r="F513" t="inlineStr">
        <is>
          <t>VÄSTRA GÖTALANDS LÄN</t>
        </is>
      </c>
      <c r="G513" t="inlineStr">
        <is>
          <t>ULRICEHAMN</t>
        </is>
      </c>
      <c r="I513" t="n">
        <v>17.6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45140</v>
      </c>
      <c r="E514" s="1" t="n">
        <v>46291</v>
      </c>
      <c r="F514" t="inlineStr">
        <is>
          <t>VÄSTRA GÖTALANDS LÄN</t>
        </is>
      </c>
      <c r="G514" t="inlineStr">
        <is>
          <t>ULRICEHAMN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45140</v>
      </c>
      <c r="E515" s="1" t="n">
        <v>46291</v>
      </c>
      <c r="F515" t="inlineStr">
        <is>
          <t>VÄSTRA GÖTALANDS LÄN</t>
        </is>
      </c>
      <c r="G515" t="inlineStr">
        <is>
          <t>ULRICEHAMN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44845</v>
      </c>
      <c r="E516" s="1" t="n">
        <v>46291</v>
      </c>
      <c r="F516" t="inlineStr">
        <is>
          <t>VÄSTRA GÖTALANDS LÄN</t>
        </is>
      </c>
      <c r="G516" t="inlineStr">
        <is>
          <t>ULRICEHAMN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15180-2022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44658</v>
      </c>
      <c r="E517" s="1" t="n">
        <v>46291</v>
      </c>
      <c r="F517" t="inlineStr">
        <is>
          <t>VÄSTRA GÖTALANDS LÄN</t>
        </is>
      </c>
      <c r="G517" t="inlineStr">
        <is>
          <t>ULRICEHAMN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45626</v>
      </c>
      <c r="E518" s="1" t="n">
        <v>46291</v>
      </c>
      <c r="F518" t="inlineStr">
        <is>
          <t>VÄSTRA GÖTALANDS LÄN</t>
        </is>
      </c>
      <c r="G518" t="inlineStr">
        <is>
          <t>ULRICEHAMN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56672-2024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45626</v>
      </c>
      <c r="E519" s="1" t="n">
        <v>46291</v>
      </c>
      <c r="F519" t="inlineStr">
        <is>
          <t>VÄSTRA GÖTALANDS LÄN</t>
        </is>
      </c>
      <c r="G519" t="inlineStr">
        <is>
          <t>ULRICEHAMN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45626</v>
      </c>
      <c r="E520" s="1" t="n">
        <v>46291</v>
      </c>
      <c r="F520" t="inlineStr">
        <is>
          <t>VÄSTRA GÖTALANDS LÄN</t>
        </is>
      </c>
      <c r="G520" t="inlineStr">
        <is>
          <t>ULRICEHAMN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46291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45233</v>
      </c>
      <c r="E522" s="1" t="n">
        <v>46291</v>
      </c>
      <c r="F522" t="inlineStr">
        <is>
          <t>VÄSTRA GÖTALANDS LÄN</t>
        </is>
      </c>
      <c r="G522" t="inlineStr">
        <is>
          <t>ULRICEHAMN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46291</v>
      </c>
      <c r="F523" t="inlineStr">
        <is>
          <t>VÄSTRA GÖTALANDS LÄN</t>
        </is>
      </c>
      <c r="G523" t="inlineStr">
        <is>
          <t>ULRICEHAMN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46291</v>
      </c>
      <c r="F524" t="inlineStr">
        <is>
          <t>VÄSTRA GÖTALANDS LÄN</t>
        </is>
      </c>
      <c r="G524" t="inlineStr">
        <is>
          <t>ULRICEHAMN</t>
        </is>
      </c>
      <c r="I524" t="n">
        <v>10.8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46291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46291</v>
      </c>
      <c r="F526" t="inlineStr">
        <is>
          <t>VÄSTRA GÖTALANDS LÄN</t>
        </is>
      </c>
      <c r="G526" t="inlineStr">
        <is>
          <t>ULRICEHAMN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46291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45681</v>
      </c>
      <c r="E528" s="1" t="n">
        <v>46291</v>
      </c>
      <c r="F528" t="inlineStr">
        <is>
          <t>VÄSTRA GÖTALANDS LÄN</t>
        </is>
      </c>
      <c r="G528" t="inlineStr">
        <is>
          <t>ULRICEHAMN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9881-2024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45363</v>
      </c>
      <c r="E529" s="1" t="n">
        <v>46291</v>
      </c>
      <c r="F529" t="inlineStr">
        <is>
          <t>VÄSTRA GÖTALANDS LÄN</t>
        </is>
      </c>
      <c r="G529" t="inlineStr">
        <is>
          <t>ULRICEHAMN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46291</v>
      </c>
      <c r="F530" t="inlineStr">
        <is>
          <t>VÄSTRA GÖTALANDS LÄN</t>
        </is>
      </c>
      <c r="G530" t="inlineStr">
        <is>
          <t>ULRICEHAMN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46291</v>
      </c>
      <c r="F531" t="inlineStr">
        <is>
          <t>VÄSTRA GÖTALANDS LÄN</t>
        </is>
      </c>
      <c r="G531" t="inlineStr">
        <is>
          <t>ULRICEHAMN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46291</v>
      </c>
      <c r="F532" t="inlineStr">
        <is>
          <t>VÄSTRA GÖTALANDS LÄN</t>
        </is>
      </c>
      <c r="G532" t="inlineStr">
        <is>
          <t>ULRICEHAMN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54904-2023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45236</v>
      </c>
      <c r="E533" s="1" t="n">
        <v>46291</v>
      </c>
      <c r="F533" t="inlineStr">
        <is>
          <t>VÄSTRA GÖTALANDS LÄN</t>
        </is>
      </c>
      <c r="G533" t="inlineStr">
        <is>
          <t>ULRICEHAMN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54912-2023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45236</v>
      </c>
      <c r="E534" s="1" t="n">
        <v>46291</v>
      </c>
      <c r="F534" t="inlineStr">
        <is>
          <t>VÄSTRA GÖTALANDS LÄN</t>
        </is>
      </c>
      <c r="G534" t="inlineStr">
        <is>
          <t>ULRICEHAMN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46261</v>
      </c>
      <c r="E535" s="1" t="n">
        <v>46291</v>
      </c>
      <c r="F535" t="inlineStr">
        <is>
          <t>VÄSTRA GÖTALANDS LÄN</t>
        </is>
      </c>
      <c r="G535" t="inlineStr">
        <is>
          <t>ULRICEHAMN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46493-2023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45197</v>
      </c>
      <c r="E536" s="1" t="n">
        <v>46291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46291</v>
      </c>
      <c r="F537" t="inlineStr">
        <is>
          <t>VÄSTRA GÖTALANDS LÄN</t>
        </is>
      </c>
      <c r="G537" t="inlineStr">
        <is>
          <t>ULRICEHAMN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49506-2023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46291</v>
      </c>
      <c r="F538" t="inlineStr">
        <is>
          <t>VÄSTRA GÖTALANDS LÄN</t>
        </is>
      </c>
      <c r="G538" t="inlineStr">
        <is>
          <t>ULRICEHAMN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35329-2026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46291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46291</v>
      </c>
      <c r="F540" t="inlineStr">
        <is>
          <t>VÄSTRA GÖTALANDS LÄN</t>
        </is>
      </c>
      <c r="G540" t="inlineStr">
        <is>
          <t>ULRICEHAMN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44685</v>
      </c>
      <c r="E541" s="1" t="n">
        <v>46291</v>
      </c>
      <c r="F541" t="inlineStr">
        <is>
          <t>VÄSTRA GÖTALANDS LÄN</t>
        </is>
      </c>
      <c r="G541" t="inlineStr">
        <is>
          <t>ULRICEHAMN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46291</v>
      </c>
      <c r="F542" t="inlineStr">
        <is>
          <t>VÄSTRA GÖTALANDS LÄN</t>
        </is>
      </c>
      <c r="G542" t="inlineStr">
        <is>
          <t>ULRICEHAMN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35538-2026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46262</v>
      </c>
      <c r="E543" s="1" t="n">
        <v>46291</v>
      </c>
      <c r="F543" t="inlineStr">
        <is>
          <t>VÄSTRA GÖTALANDS LÄN</t>
        </is>
      </c>
      <c r="G543" t="inlineStr">
        <is>
          <t>ULRICEHAMN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46291</v>
      </c>
      <c r="F544" t="inlineStr">
        <is>
          <t>VÄSTRA GÖTALANDS LÄN</t>
        </is>
      </c>
      <c r="G544" t="inlineStr">
        <is>
          <t>ULRICEHAMN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46223</v>
      </c>
      <c r="E545" s="1" t="n">
        <v>46291</v>
      </c>
      <c r="F545" t="inlineStr">
        <is>
          <t>VÄSTRA GÖTALANDS LÄN</t>
        </is>
      </c>
      <c r="G545" t="inlineStr">
        <is>
          <t>ULRICEHAMN</t>
        </is>
      </c>
      <c r="H545" t="inlineStr">
        <is>
          <t>Sveaskog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40650-2022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44824</v>
      </c>
      <c r="E546" s="1" t="n">
        <v>46291</v>
      </c>
      <c r="F546" t="inlineStr">
        <is>
          <t>VÄSTRA GÖTALANDS LÄN</t>
        </is>
      </c>
      <c r="G546" t="inlineStr">
        <is>
          <t>ULRICEHAMN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64794-2023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45282</v>
      </c>
      <c r="E547" s="1" t="n">
        <v>46291</v>
      </c>
      <c r="F547" t="inlineStr">
        <is>
          <t>VÄSTRA GÖTALANDS LÄN</t>
        </is>
      </c>
      <c r="G547" t="inlineStr">
        <is>
          <t>ULRICEHAMN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44463-2023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46291</v>
      </c>
      <c r="F548" t="inlineStr">
        <is>
          <t>VÄSTRA GÖTALANDS LÄN</t>
        </is>
      </c>
      <c r="G548" t="inlineStr">
        <is>
          <t>ULRICEHAMN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46223</v>
      </c>
      <c r="E549" s="1" t="n">
        <v>46291</v>
      </c>
      <c r="F549" t="inlineStr">
        <is>
          <t>VÄSTRA GÖTALANDS LÄN</t>
        </is>
      </c>
      <c r="G549" t="inlineStr">
        <is>
          <t>ULRICEHAMN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46291</v>
      </c>
      <c r="F550" t="inlineStr">
        <is>
          <t>VÄSTRA GÖTALANDS LÄN</t>
        </is>
      </c>
      <c r="G550" t="inlineStr">
        <is>
          <t>ULRICEHAMN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55763-2023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45239</v>
      </c>
      <c r="E551" s="1" t="n">
        <v>46291</v>
      </c>
      <c r="F551" t="inlineStr">
        <is>
          <t>VÄSTRA GÖTALANDS LÄN</t>
        </is>
      </c>
      <c r="G551" t="inlineStr">
        <is>
          <t>ULRICEHAMN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45247</v>
      </c>
      <c r="E552" s="1" t="n">
        <v>46291</v>
      </c>
      <c r="F552" t="inlineStr">
        <is>
          <t>VÄSTRA GÖTALANDS LÄN</t>
        </is>
      </c>
      <c r="G552" t="inlineStr">
        <is>
          <t>ULRICEHAMN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24922-2024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45461</v>
      </c>
      <c r="E553" s="1" t="n">
        <v>46291</v>
      </c>
      <c r="F553" t="inlineStr">
        <is>
          <t>VÄSTRA GÖTALANDS LÄN</t>
        </is>
      </c>
      <c r="G553" t="inlineStr">
        <is>
          <t>ULRICEHAMN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45190</v>
      </c>
      <c r="E554" s="1" t="n">
        <v>46291</v>
      </c>
      <c r="F554" t="inlineStr">
        <is>
          <t>VÄSTRA GÖTALANDS LÄN</t>
        </is>
      </c>
      <c r="G554" t="inlineStr">
        <is>
          <t>ULRICEHAMN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53097-2023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45227</v>
      </c>
      <c r="E555" s="1" t="n">
        <v>46291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46224</v>
      </c>
      <c r="E556" s="1" t="n">
        <v>46291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Kyrkan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46224</v>
      </c>
      <c r="E557" s="1" t="n">
        <v>46291</v>
      </c>
      <c r="F557" t="inlineStr">
        <is>
          <t>VÄSTRA GÖTALANDS LÄN</t>
        </is>
      </c>
      <c r="G557" t="inlineStr">
        <is>
          <t>ULRICEHAMN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46224</v>
      </c>
      <c r="E558" s="1" t="n">
        <v>46291</v>
      </c>
      <c r="F558" t="inlineStr">
        <is>
          <t>VÄSTRA GÖTALANDS LÄN</t>
        </is>
      </c>
      <c r="G558" t="inlineStr">
        <is>
          <t>ULRICEHAMN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36054-2026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46291</v>
      </c>
      <c r="F559" t="inlineStr">
        <is>
          <t>VÄSTRA GÖTALANDS LÄN</t>
        </is>
      </c>
      <c r="G559" t="inlineStr">
        <is>
          <t>ULRICEHAMN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46310-2022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44847</v>
      </c>
      <c r="E560" s="1" t="n">
        <v>46291</v>
      </c>
      <c r="F560" t="inlineStr">
        <is>
          <t>VÄSTRA GÖTALANDS LÄN</t>
        </is>
      </c>
      <c r="G560" t="inlineStr">
        <is>
          <t>ULRICEHAMN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46291</v>
      </c>
      <c r="F561" t="inlineStr">
        <is>
          <t>VÄSTRA GÖTALANDS LÄN</t>
        </is>
      </c>
      <c r="G561" t="inlineStr">
        <is>
          <t>ULRICEHAMN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46227</v>
      </c>
      <c r="E562" s="1" t="n">
        <v>46291</v>
      </c>
      <c r="F562" t="inlineStr">
        <is>
          <t>VÄSTRA GÖTALANDS LÄN</t>
        </is>
      </c>
      <c r="G562" t="inlineStr">
        <is>
          <t>ULRICEHAMN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46291</v>
      </c>
      <c r="F563" t="inlineStr">
        <is>
          <t>VÄSTRA GÖTALANDS LÄN</t>
        </is>
      </c>
      <c r="G563" t="inlineStr">
        <is>
          <t>ULRICEHAMN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48406-2025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45934</v>
      </c>
      <c r="E564" s="1" t="n">
        <v>46291</v>
      </c>
      <c r="F564" t="inlineStr">
        <is>
          <t>VÄSTRA GÖTALANDS LÄN</t>
        </is>
      </c>
      <c r="G564" t="inlineStr">
        <is>
          <t>ULRICEHAMN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44593</v>
      </c>
      <c r="E565" s="1" t="n">
        <v>46291</v>
      </c>
      <c r="F565" t="inlineStr">
        <is>
          <t>VÄSTRA GÖTALANDS LÄN</t>
        </is>
      </c>
      <c r="G565" t="inlineStr">
        <is>
          <t>ULRICEHAMN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31298-2022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44772</v>
      </c>
      <c r="E566" s="1" t="n">
        <v>46291</v>
      </c>
      <c r="F566" t="inlineStr">
        <is>
          <t>VÄSTRA GÖTALANDS LÄN</t>
        </is>
      </c>
      <c r="G566" t="inlineStr">
        <is>
          <t>ULRICEHAMN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46291</v>
      </c>
      <c r="F567" t="inlineStr">
        <is>
          <t>VÄSTRA GÖTALANDS LÄN</t>
        </is>
      </c>
      <c r="G567" t="inlineStr">
        <is>
          <t>ULRICEHAMN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55264-2023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46291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46291</v>
      </c>
      <c r="F569" t="inlineStr">
        <is>
          <t>VÄSTRA GÖTALANDS LÄN</t>
        </is>
      </c>
      <c r="G569" t="inlineStr">
        <is>
          <t>ULRICEHAMN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46271</v>
      </c>
      <c r="E570" s="1" t="n">
        <v>46291</v>
      </c>
      <c r="F570" t="inlineStr">
        <is>
          <t>VÄSTRA GÖTALANDS LÄN</t>
        </is>
      </c>
      <c r="G570" t="inlineStr">
        <is>
          <t>ULRICEHAMN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46271</v>
      </c>
      <c r="E571" s="1" t="n">
        <v>46291</v>
      </c>
      <c r="F571" t="inlineStr">
        <is>
          <t>VÄSTRA GÖTALANDS LÄN</t>
        </is>
      </c>
      <c r="G571" t="inlineStr">
        <is>
          <t>ULRICEHAMN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46291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46272</v>
      </c>
      <c r="E573" s="1" t="n">
        <v>46291</v>
      </c>
      <c r="F573" t="inlineStr">
        <is>
          <t>VÄSTRA GÖTALANDS LÄN</t>
        </is>
      </c>
      <c r="G573" t="inlineStr">
        <is>
          <t>ULRICEHAMN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31863-2026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46231</v>
      </c>
      <c r="E574" s="1" t="n">
        <v>46291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17870-2023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45038</v>
      </c>
      <c r="E575" s="1" t="n">
        <v>46291</v>
      </c>
      <c r="F575" t="inlineStr">
        <is>
          <t>VÄSTRA GÖTALANDS LÄN</t>
        </is>
      </c>
      <c r="G575" t="inlineStr">
        <is>
          <t>ULRICEHAMN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46274</v>
      </c>
      <c r="E576" s="1" t="n">
        <v>46291</v>
      </c>
      <c r="F576" t="inlineStr">
        <is>
          <t>VÄSTRA GÖTALANDS LÄN</t>
        </is>
      </c>
      <c r="G576" t="inlineStr">
        <is>
          <t>ULRICEHAMN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25340-2023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45087</v>
      </c>
      <c r="E577" s="1" t="n">
        <v>46291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15289-2025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45745</v>
      </c>
      <c r="E578" s="1" t="n">
        <v>46291</v>
      </c>
      <c r="F578" t="inlineStr">
        <is>
          <t>VÄSTRA GÖTALANDS LÄN</t>
        </is>
      </c>
      <c r="G578" t="inlineStr">
        <is>
          <t>ULRICEHAMN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45245</v>
      </c>
      <c r="E579" s="1" t="n">
        <v>46291</v>
      </c>
      <c r="F579" t="inlineStr">
        <is>
          <t>VÄSTRA GÖTALANDS LÄN</t>
        </is>
      </c>
      <c r="G579" t="inlineStr">
        <is>
          <t>ULRICEHAMN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46135</v>
      </c>
      <c r="E580" s="1" t="n">
        <v>46291</v>
      </c>
      <c r="F580" t="inlineStr">
        <is>
          <t>VÄSTRA GÖTALANDS LÄN</t>
        </is>
      </c>
      <c r="G580" t="inlineStr">
        <is>
          <t>ULRICEHAMN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64734-2023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45281</v>
      </c>
      <c r="E581" s="1" t="n">
        <v>46291</v>
      </c>
      <c r="F581" t="inlineStr">
        <is>
          <t>VÄSTRA GÖTALANDS LÄN</t>
        </is>
      </c>
      <c r="G581" t="inlineStr">
        <is>
          <t>ULRICEHAMN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64736-2023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45281</v>
      </c>
      <c r="E582" s="1" t="n">
        <v>46291</v>
      </c>
      <c r="F582" t="inlineStr">
        <is>
          <t>VÄSTRA GÖTALANDS LÄN</t>
        </is>
      </c>
      <c r="G582" t="inlineStr">
        <is>
          <t>ULRICEHAMN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64738-2023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45281</v>
      </c>
      <c r="E583" s="1" t="n">
        <v>46291</v>
      </c>
      <c r="F583" t="inlineStr">
        <is>
          <t>VÄSTRA GÖTALANDS LÄN</t>
        </is>
      </c>
      <c r="G583" t="inlineStr">
        <is>
          <t>ULRICEHAMN</t>
        </is>
      </c>
      <c r="I583" t="n">
        <v>14.1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31953-2026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46232</v>
      </c>
      <c r="E584" s="1" t="n">
        <v>46291</v>
      </c>
      <c r="F584" t="inlineStr">
        <is>
          <t>VÄSTRA GÖTALANDS LÄN</t>
        </is>
      </c>
      <c r="G584" t="inlineStr">
        <is>
          <t>ULRICEHAMN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46277</v>
      </c>
      <c r="E585" s="1" t="n">
        <v>46291</v>
      </c>
      <c r="F585" t="inlineStr">
        <is>
          <t>VÄSTRA GÖTALANDS LÄN</t>
        </is>
      </c>
      <c r="G585" t="inlineStr">
        <is>
          <t>ULRICEHAMN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46277</v>
      </c>
      <c r="E586" s="1" t="n">
        <v>46291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45257</v>
      </c>
      <c r="E587" s="1" t="n">
        <v>46291</v>
      </c>
      <c r="F587" t="inlineStr">
        <is>
          <t>VÄSTRA GÖTALANDS LÄN</t>
        </is>
      </c>
      <c r="G587" t="inlineStr">
        <is>
          <t>ULRICEHAMN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46238</v>
      </c>
      <c r="E588" s="1" t="n">
        <v>46291</v>
      </c>
      <c r="F588" t="inlineStr">
        <is>
          <t>VÄSTRA GÖTALANDS LÄN</t>
        </is>
      </c>
      <c r="G588" t="inlineStr">
        <is>
          <t>ULRICEHAMN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65400-2021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44515</v>
      </c>
      <c r="E589" s="1" t="n">
        <v>46291</v>
      </c>
      <c r="F589" t="inlineStr">
        <is>
          <t>VÄSTRA GÖTALANDS LÄN</t>
        </is>
      </c>
      <c r="G589" t="inlineStr">
        <is>
          <t>ULRICEHAMN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60277-2023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45258</v>
      </c>
      <c r="E590" s="1" t="n">
        <v>46291</v>
      </c>
      <c r="F590" t="inlineStr">
        <is>
          <t>VÄSTRA GÖTALANDS LÄN</t>
        </is>
      </c>
      <c r="G590" t="inlineStr">
        <is>
          <t>ULRICEHAMN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58560-2021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44488</v>
      </c>
      <c r="E591" s="1" t="n">
        <v>46291</v>
      </c>
      <c r="F591" t="inlineStr">
        <is>
          <t>VÄSTRA GÖTALANDS LÄN</t>
        </is>
      </c>
      <c r="G591" t="inlineStr">
        <is>
          <t>ULRICEHAMN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37671-2026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46277</v>
      </c>
      <c r="E592" s="1" t="n">
        <v>46291</v>
      </c>
      <c r="F592" t="inlineStr">
        <is>
          <t>VÄSTRA GÖTALANDS LÄN</t>
        </is>
      </c>
      <c r="G592" t="inlineStr">
        <is>
          <t>ULRICEHAMN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45606</v>
      </c>
      <c r="E593" s="1" t="n">
        <v>46291</v>
      </c>
      <c r="F593" t="inlineStr">
        <is>
          <t>VÄSTRA GÖTALANDS LÄN</t>
        </is>
      </c>
      <c r="G593" t="inlineStr">
        <is>
          <t>ULRICEHAMN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42205-2022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44830</v>
      </c>
      <c r="E594" s="1" t="n">
        <v>46291</v>
      </c>
      <c r="F594" t="inlineStr">
        <is>
          <t>VÄSTRA GÖTALANDS LÄN</t>
        </is>
      </c>
      <c r="G594" t="inlineStr">
        <is>
          <t>ULRICEHAMN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44606</v>
      </c>
      <c r="E595" s="1" t="n">
        <v>46291</v>
      </c>
      <c r="F595" t="inlineStr">
        <is>
          <t>VÄSTRA GÖTALANDS LÄN</t>
        </is>
      </c>
      <c r="G595" t="inlineStr">
        <is>
          <t>ULRICEHAMN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46240</v>
      </c>
      <c r="E596" s="1" t="n">
        <v>46291</v>
      </c>
      <c r="F596" t="inlineStr">
        <is>
          <t>VÄSTRA GÖTALANDS LÄN</t>
        </is>
      </c>
      <c r="G596" t="inlineStr">
        <is>
          <t>ULRICEHAMN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548-2022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44566</v>
      </c>
      <c r="E597" s="1" t="n">
        <v>46291</v>
      </c>
      <c r="F597" t="inlineStr">
        <is>
          <t>VÄSTRA GÖTALANDS LÄN</t>
        </is>
      </c>
      <c r="G597" t="inlineStr">
        <is>
          <t>ULRICEHAMN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14038-2023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45008</v>
      </c>
      <c r="E598" s="1" t="n">
        <v>46291</v>
      </c>
      <c r="F598" t="inlineStr">
        <is>
          <t>VÄSTRA GÖTALANDS LÄN</t>
        </is>
      </c>
      <c r="G598" t="inlineStr">
        <is>
          <t>ULRICEHAMN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12727-2024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45384</v>
      </c>
      <c r="E599" s="1" t="n">
        <v>46291</v>
      </c>
      <c r="F599" t="inlineStr">
        <is>
          <t>VÄSTRA GÖTALANDS LÄN</t>
        </is>
      </c>
      <c r="G599" t="inlineStr">
        <is>
          <t>ULRICEHAMN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30585-2022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46291</v>
      </c>
      <c r="F600" t="inlineStr">
        <is>
          <t>VÄSTRA GÖTALANDS LÄN</t>
        </is>
      </c>
      <c r="G600" t="inlineStr">
        <is>
          <t>ULRICEHAMN</t>
        </is>
      </c>
      <c r="I600" t="n">
        <v>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46245</v>
      </c>
      <c r="E601" s="1" t="n">
        <v>46291</v>
      </c>
      <c r="F601" t="inlineStr">
        <is>
          <t>VÄSTRA GÖTALANDS LÄN</t>
        </is>
      </c>
      <c r="G601" t="inlineStr">
        <is>
          <t>ULRICEHAMN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17306-2022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44678</v>
      </c>
      <c r="E602" s="1" t="n">
        <v>46291</v>
      </c>
      <c r="F602" t="inlineStr">
        <is>
          <t>VÄSTRA GÖTALANDS LÄN</t>
        </is>
      </c>
      <c r="G602" t="inlineStr">
        <is>
          <t>ULRICEHAMN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49545-2025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45939</v>
      </c>
      <c r="E603" s="1" t="n">
        <v>46291</v>
      </c>
      <c r="F603" t="inlineStr">
        <is>
          <t>VÄSTRA GÖTALANDS LÄN</t>
        </is>
      </c>
      <c r="G603" t="inlineStr">
        <is>
          <t>ULRICEHAMN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60992-2021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44497</v>
      </c>
      <c r="E604" s="1" t="n">
        <v>46291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51777-2024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45607</v>
      </c>
      <c r="E605" s="1" t="n">
        <v>46291</v>
      </c>
      <c r="F605" t="inlineStr">
        <is>
          <t>VÄSTRA GÖTALANDS LÄN</t>
        </is>
      </c>
      <c r="G605" t="inlineStr">
        <is>
          <t>ULRICEHAMN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14592-2024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45395</v>
      </c>
      <c r="E606" s="1" t="n">
        <v>46291</v>
      </c>
      <c r="F606" t="inlineStr">
        <is>
          <t>VÄSTRA GÖTALANDS LÄN</t>
        </is>
      </c>
      <c r="G606" t="inlineStr">
        <is>
          <t>ULRICEHAMN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46247</v>
      </c>
      <c r="E607" s="1" t="n">
        <v>46291</v>
      </c>
      <c r="F607" t="inlineStr">
        <is>
          <t>VÄSTRA GÖTALANDS LÄN</t>
        </is>
      </c>
      <c r="G607" t="inlineStr">
        <is>
          <t>ULRICEHAMN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46291</v>
      </c>
      <c r="F608" t="inlineStr">
        <is>
          <t>VÄSTRA GÖTALANDS LÄN</t>
        </is>
      </c>
      <c r="G608" t="inlineStr">
        <is>
          <t>ULRICEHAMN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57561-2022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44896</v>
      </c>
      <c r="E609" s="1" t="n">
        <v>46291</v>
      </c>
      <c r="F609" t="inlineStr">
        <is>
          <t>VÄSTRA GÖTALANDS LÄN</t>
        </is>
      </c>
      <c r="G609" t="inlineStr">
        <is>
          <t>ULRICEHAMN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22715-2023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46291</v>
      </c>
      <c r="F610" t="inlineStr">
        <is>
          <t>VÄSTRA GÖTALANDS LÄN</t>
        </is>
      </c>
      <c r="G610" t="inlineStr">
        <is>
          <t>ULRICEHAMN</t>
        </is>
      </c>
      <c r="I610" t="n">
        <v>7.4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26248-2023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45091</v>
      </c>
      <c r="E611" s="1" t="n">
        <v>46291</v>
      </c>
      <c r="F611" t="inlineStr">
        <is>
          <t>VÄSTRA GÖTALANDS LÄN</t>
        </is>
      </c>
      <c r="G611" t="inlineStr">
        <is>
          <t>ULRICEHAMN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14149-2023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45009</v>
      </c>
      <c r="E612" s="1" t="n">
        <v>46291</v>
      </c>
      <c r="F612" t="inlineStr">
        <is>
          <t>VÄSTRA GÖTALANDS LÄN</t>
        </is>
      </c>
      <c r="G612" t="inlineStr">
        <is>
          <t>ULRICEHAMN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46291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9599-2024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45361</v>
      </c>
      <c r="E614" s="1" t="n">
        <v>46291</v>
      </c>
      <c r="F614" t="inlineStr">
        <is>
          <t>VÄSTRA GÖTALANDS LÄN</t>
        </is>
      </c>
      <c r="G614" t="inlineStr">
        <is>
          <t>ULRICEHAMN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50002-2024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45598</v>
      </c>
      <c r="E615" s="1" t="n">
        <v>46291</v>
      </c>
      <c r="F615" t="inlineStr">
        <is>
          <t>VÄSTRA GÖTALANDS LÄN</t>
        </is>
      </c>
      <c r="G615" t="inlineStr">
        <is>
          <t>ULRICEHAMN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33631-2026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46248</v>
      </c>
      <c r="E616" s="1" t="n">
        <v>46291</v>
      </c>
      <c r="F616" t="inlineStr">
        <is>
          <t>VÄSTRA GÖTALANDS LÄN</t>
        </is>
      </c>
      <c r="G616" t="inlineStr">
        <is>
          <t>ULRICEHAMN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30332-2022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44760</v>
      </c>
      <c r="E617" s="1" t="n">
        <v>46291</v>
      </c>
      <c r="F617" t="inlineStr">
        <is>
          <t>VÄSTRA GÖTALANDS LÄN</t>
        </is>
      </c>
      <c r="G617" t="inlineStr">
        <is>
          <t>ULRICEHAMN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46291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6856-2023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44967</v>
      </c>
      <c r="E619" s="1" t="n">
        <v>46291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56450-2024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45625</v>
      </c>
      <c r="E620" s="1" t="n">
        <v>46291</v>
      </c>
      <c r="F620" t="inlineStr">
        <is>
          <t>VÄSTRA GÖTALANDS LÄN</t>
        </is>
      </c>
      <c r="G620" t="inlineStr">
        <is>
          <t>ULRICEHAMN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64998-2021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44514</v>
      </c>
      <c r="E621" s="1" t="n">
        <v>46291</v>
      </c>
      <c r="F621" t="inlineStr">
        <is>
          <t>VÄSTRA GÖTALANDS LÄN</t>
        </is>
      </c>
      <c r="G621" t="inlineStr">
        <is>
          <t>ULRICEHAMN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50665-2024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45601</v>
      </c>
      <c r="E622" s="1" t="n">
        <v>46291</v>
      </c>
      <c r="F622" t="inlineStr">
        <is>
          <t>VÄSTRA GÖTALANDS LÄN</t>
        </is>
      </c>
      <c r="G622" t="inlineStr">
        <is>
          <t>ULRICEHAMN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22480-2023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45071</v>
      </c>
      <c r="E623" s="1" t="n">
        <v>46291</v>
      </c>
      <c r="F623" t="inlineStr">
        <is>
          <t>VÄSTRA GÖTALANDS LÄN</t>
        </is>
      </c>
      <c r="G623" t="inlineStr">
        <is>
          <t>ULRICEHAMN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44945</v>
      </c>
      <c r="E624" s="1" t="n">
        <v>46291</v>
      </c>
      <c r="F624" t="inlineStr">
        <is>
          <t>VÄSTRA GÖTALANDS LÄN</t>
        </is>
      </c>
      <c r="G624" t="inlineStr">
        <is>
          <t>ULRICEHAMN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45104</v>
      </c>
      <c r="E625" s="1" t="n">
        <v>46291</v>
      </c>
      <c r="F625" t="inlineStr">
        <is>
          <t>VÄSTRA GÖTALANDS LÄN</t>
        </is>
      </c>
      <c r="G625" t="inlineStr">
        <is>
          <t>ULRICEHAMN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45320</v>
      </c>
      <c r="E626" s="1" t="n">
        <v>46291</v>
      </c>
      <c r="F626" t="inlineStr">
        <is>
          <t>VÄSTRA GÖTALANDS LÄN</t>
        </is>
      </c>
      <c r="G626" t="inlineStr">
        <is>
          <t>ULRICEHAMN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42438-2024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45565</v>
      </c>
      <c r="E627" s="1" t="n">
        <v>46291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65872-2021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44517</v>
      </c>
      <c r="E628" s="1" t="n">
        <v>46291</v>
      </c>
      <c r="F628" t="inlineStr">
        <is>
          <t>VÄSTRA GÖTALANDS LÄN</t>
        </is>
      </c>
      <c r="G628" t="inlineStr">
        <is>
          <t>ULRICEHAMN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46209-2023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45196</v>
      </c>
      <c r="E629" s="1" t="n">
        <v>46291</v>
      </c>
      <c r="F629" t="inlineStr">
        <is>
          <t>VÄSTRA GÖTALANDS LÄN</t>
        </is>
      </c>
      <c r="G629" t="inlineStr">
        <is>
          <t>ULRICEHAMN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8670-2022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44613</v>
      </c>
      <c r="E630" s="1" t="n">
        <v>46291</v>
      </c>
      <c r="F630" t="inlineStr">
        <is>
          <t>VÄSTRA GÖTALANDS LÄN</t>
        </is>
      </c>
      <c r="G630" t="inlineStr">
        <is>
          <t>ULRICEHAMN</t>
        </is>
      </c>
      <c r="H630" t="inlineStr">
        <is>
          <t>Sveaskog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32303-2023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45120</v>
      </c>
      <c r="E631" s="1" t="n">
        <v>46291</v>
      </c>
      <c r="F631" t="inlineStr">
        <is>
          <t>VÄSTRA GÖTALANDS LÄN</t>
        </is>
      </c>
      <c r="G631" t="inlineStr">
        <is>
          <t>ULRICEHAMN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55267-2023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45237</v>
      </c>
      <c r="E632" s="1" t="n">
        <v>46291</v>
      </c>
      <c r="F632" t="inlineStr">
        <is>
          <t>VÄSTRA GÖTALANDS LÄN</t>
        </is>
      </c>
      <c r="G632" t="inlineStr">
        <is>
          <t>ULRICEHAMN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12101-2022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44636</v>
      </c>
      <c r="E633" s="1" t="n">
        <v>46291</v>
      </c>
      <c r="F633" t="inlineStr">
        <is>
          <t>VÄSTRA GÖTALANDS LÄN</t>
        </is>
      </c>
      <c r="G633" t="inlineStr">
        <is>
          <t>ULRICEHAMN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45533</v>
      </c>
      <c r="E634" s="1" t="n">
        <v>46291</v>
      </c>
      <c r="F634" t="inlineStr">
        <is>
          <t>VÄSTRA GÖTALANDS LÄN</t>
        </is>
      </c>
      <c r="G634" t="inlineStr">
        <is>
          <t>ULRICEHAMN</t>
        </is>
      </c>
      <c r="I634" t="n">
        <v>12.5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60274-2023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45258</v>
      </c>
      <c r="E635" s="1" t="n">
        <v>46291</v>
      </c>
      <c r="F635" t="inlineStr">
        <is>
          <t>VÄSTRA GÖTALANDS LÄN</t>
        </is>
      </c>
      <c r="G635" t="inlineStr">
        <is>
          <t>ULRICEHAMN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45246</v>
      </c>
      <c r="E636" s="1" t="n">
        <v>46291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45163</v>
      </c>
      <c r="E637" s="1" t="n">
        <v>46291</v>
      </c>
      <c r="F637" t="inlineStr">
        <is>
          <t>VÄSTRA GÖTALANDS LÄN</t>
        </is>
      </c>
      <c r="G637" t="inlineStr">
        <is>
          <t>ULRICEHAMN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49825-2024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45597</v>
      </c>
      <c r="E638" s="1" t="n">
        <v>46291</v>
      </c>
      <c r="F638" t="inlineStr">
        <is>
          <t>VÄSTRA GÖTALANDS LÄN</t>
        </is>
      </c>
      <c r="G638" t="inlineStr">
        <is>
          <t>ULRICEHAMN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63012-2023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45272</v>
      </c>
      <c r="E639" s="1" t="n">
        <v>46291</v>
      </c>
      <c r="F639" t="inlineStr">
        <is>
          <t>VÄSTRA GÖTALANDS LÄN</t>
        </is>
      </c>
      <c r="G639" t="inlineStr">
        <is>
          <t>ULRICEHAMN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46291</v>
      </c>
      <c r="F640" t="inlineStr">
        <is>
          <t>VÄSTRA GÖTALANDS LÄN</t>
        </is>
      </c>
      <c r="G640" t="inlineStr">
        <is>
          <t>ULRICEHAMN</t>
        </is>
      </c>
      <c r="I640" t="n">
        <v>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44971</v>
      </c>
      <c r="E641" s="1" t="n">
        <v>46291</v>
      </c>
      <c r="F641" t="inlineStr">
        <is>
          <t>VÄSTRA GÖTALANDS LÄN</t>
        </is>
      </c>
      <c r="G641" t="inlineStr">
        <is>
          <t>ULRICEHAMN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45153</v>
      </c>
      <c r="E642" s="1" t="n">
        <v>46291</v>
      </c>
      <c r="F642" t="inlineStr">
        <is>
          <t>VÄSTRA GÖTALANDS LÄN</t>
        </is>
      </c>
      <c r="G642" t="inlineStr">
        <is>
          <t>ULRICEHAMN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45162</v>
      </c>
      <c r="E643" s="1" t="n">
        <v>46291</v>
      </c>
      <c r="F643" t="inlineStr">
        <is>
          <t>VÄSTRA GÖTALANDS LÄN</t>
        </is>
      </c>
      <c r="G643" t="inlineStr">
        <is>
          <t>ULRICEHAMN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45002</v>
      </c>
      <c r="E644" s="1" t="n">
        <v>46291</v>
      </c>
      <c r="F644" t="inlineStr">
        <is>
          <t>VÄSTRA GÖTALANDS LÄN</t>
        </is>
      </c>
      <c r="G644" t="inlineStr">
        <is>
          <t>ULRICEHAMN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45376</v>
      </c>
      <c r="E645" s="1" t="n">
        <v>46291</v>
      </c>
      <c r="F645" t="inlineStr">
        <is>
          <t>VÄSTRA GÖTALANDS LÄN</t>
        </is>
      </c>
      <c r="G645" t="inlineStr">
        <is>
          <t>ULRICEHAMN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46291</v>
      </c>
      <c r="F646" t="inlineStr">
        <is>
          <t>VÄSTRA GÖTALANDS LÄN</t>
        </is>
      </c>
      <c r="G646" t="inlineStr">
        <is>
          <t>ULRICEHAMN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56833-2022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46291</v>
      </c>
      <c r="F647" t="inlineStr">
        <is>
          <t>VÄSTRA GÖTALANDS LÄN</t>
        </is>
      </c>
      <c r="G647" t="inlineStr">
        <is>
          <t>ULRICEHAMN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45482</v>
      </c>
      <c r="E648" s="1" t="n">
        <v>46291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46291</v>
      </c>
      <c r="F649" t="inlineStr">
        <is>
          <t>VÄSTRA GÖTALANDS LÄN</t>
        </is>
      </c>
      <c r="G649" t="inlineStr">
        <is>
          <t>ULRICEHAMN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46291</v>
      </c>
      <c r="F650" t="inlineStr">
        <is>
          <t>VÄSTRA GÖTALANDS LÄN</t>
        </is>
      </c>
      <c r="G650" t="inlineStr">
        <is>
          <t>ULRICEHAMN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46291</v>
      </c>
      <c r="F651" t="inlineStr">
        <is>
          <t>VÄSTRA GÖTALANDS LÄN</t>
        </is>
      </c>
      <c r="G651" t="inlineStr">
        <is>
          <t>ULRICEHAMN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45683</v>
      </c>
      <c r="E652" s="1" t="n">
        <v>46291</v>
      </c>
      <c r="F652" t="inlineStr">
        <is>
          <t>VÄSTRA GÖTALANDS LÄN</t>
        </is>
      </c>
      <c r="G652" t="inlineStr">
        <is>
          <t>ULRICEHAMN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46291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45006</v>
      </c>
      <c r="E654" s="1" t="n">
        <v>46291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Kommuner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45321</v>
      </c>
      <c r="E655" s="1" t="n">
        <v>46291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13098-2023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45002</v>
      </c>
      <c r="E656" s="1" t="n">
        <v>46291</v>
      </c>
      <c r="F656" t="inlineStr">
        <is>
          <t>VÄSTRA GÖTALANDS LÄN</t>
        </is>
      </c>
      <c r="G656" t="inlineStr">
        <is>
          <t>ULRICEHAMN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53087-2023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45227</v>
      </c>
      <c r="E657" s="1" t="n">
        <v>46291</v>
      </c>
      <c r="F657" t="inlineStr">
        <is>
          <t>VÄSTRA GÖTALANDS LÄN</t>
        </is>
      </c>
      <c r="G657" t="inlineStr">
        <is>
          <t>ULRICEHAMN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53089-2023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45227</v>
      </c>
      <c r="E658" s="1" t="n">
        <v>46291</v>
      </c>
      <c r="F658" t="inlineStr">
        <is>
          <t>VÄSTRA GÖTALANDS LÄN</t>
        </is>
      </c>
      <c r="G658" t="inlineStr">
        <is>
          <t>ULRICEHAMN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45124</v>
      </c>
      <c r="E659" s="1" t="n">
        <v>46291</v>
      </c>
      <c r="F659" t="inlineStr">
        <is>
          <t>VÄSTRA GÖTALANDS LÄN</t>
        </is>
      </c>
      <c r="G659" t="inlineStr">
        <is>
          <t>ULRICEHAMN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34767-2023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45140</v>
      </c>
      <c r="E660" s="1" t="n">
        <v>46291</v>
      </c>
      <c r="F660" t="inlineStr">
        <is>
          <t>VÄSTRA GÖTALANDS LÄN</t>
        </is>
      </c>
      <c r="G660" t="inlineStr">
        <is>
          <t>ULRICEHAMN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52132-2024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45608</v>
      </c>
      <c r="E661" s="1" t="n">
        <v>46291</v>
      </c>
      <c r="F661" t="inlineStr">
        <is>
          <t>VÄSTRA GÖTALANDS LÄN</t>
        </is>
      </c>
      <c r="G661" t="inlineStr">
        <is>
          <t>ULRICEHAMN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46291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46291</v>
      </c>
      <c r="F663" t="inlineStr">
        <is>
          <t>VÄSTRA GÖTALANDS LÄN</t>
        </is>
      </c>
      <c r="G663" t="inlineStr">
        <is>
          <t>ULRICEHAMN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12149-2022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44636</v>
      </c>
      <c r="E664" s="1" t="n">
        <v>46291</v>
      </c>
      <c r="F664" t="inlineStr">
        <is>
          <t>VÄSTRA GÖTALANDS LÄN</t>
        </is>
      </c>
      <c r="G664" t="inlineStr">
        <is>
          <t>ULRICEHAMN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45224</v>
      </c>
      <c r="E665" s="1" t="n">
        <v>46291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45412</v>
      </c>
      <c r="E666" s="1" t="n">
        <v>46291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46291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45265</v>
      </c>
      <c r="E668" s="1" t="n">
        <v>46291</v>
      </c>
      <c r="F668" t="inlineStr">
        <is>
          <t>VÄSTRA GÖTALANDS LÄN</t>
        </is>
      </c>
      <c r="G668" t="inlineStr">
        <is>
          <t>ULRICEHAMN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3441-2024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45320</v>
      </c>
      <c r="E669" s="1" t="n">
        <v>46291</v>
      </c>
      <c r="F669" t="inlineStr">
        <is>
          <t>VÄSTRA GÖTALANDS LÄN</t>
        </is>
      </c>
      <c r="G669" t="inlineStr">
        <is>
          <t>ULRICEHAMN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48986-2023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45209</v>
      </c>
      <c r="E670" s="1" t="n">
        <v>46291</v>
      </c>
      <c r="F670" t="inlineStr">
        <is>
          <t>VÄSTRA GÖTALANDS LÄN</t>
        </is>
      </c>
      <c r="G670" t="inlineStr">
        <is>
          <t>ULRICEHAMN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35764-2022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44800</v>
      </c>
      <c r="E671" s="1" t="n">
        <v>46291</v>
      </c>
      <c r="F671" t="inlineStr">
        <is>
          <t>VÄSTRA GÖTALANDS LÄN</t>
        </is>
      </c>
      <c r="G671" t="inlineStr">
        <is>
          <t>ULRICEHAMN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42675-2023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45181</v>
      </c>
      <c r="E672" s="1" t="n">
        <v>46291</v>
      </c>
      <c r="F672" t="inlineStr">
        <is>
          <t>VÄSTRA GÖTALANDS LÄN</t>
        </is>
      </c>
      <c r="G672" t="inlineStr">
        <is>
          <t>ULRICEHAMN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8738-2024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46291</v>
      </c>
      <c r="F673" t="inlineStr">
        <is>
          <t>VÄSTRA GÖTALANDS LÄN</t>
        </is>
      </c>
      <c r="G673" t="inlineStr">
        <is>
          <t>ULRICEHAMN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52481-2021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44466</v>
      </c>
      <c r="E674" s="1" t="n">
        <v>46291</v>
      </c>
      <c r="F674" t="inlineStr">
        <is>
          <t>VÄSTRA GÖTALANDS LÄN</t>
        </is>
      </c>
      <c r="G674" t="inlineStr">
        <is>
          <t>ULRICEHAMN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46291</v>
      </c>
      <c r="F675" t="inlineStr">
        <is>
          <t>VÄSTRA GÖTALANDS LÄN</t>
        </is>
      </c>
      <c r="G675" t="inlineStr">
        <is>
          <t>ULRICEHAMN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44929</v>
      </c>
      <c r="E676" s="1" t="n">
        <v>46291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45671</v>
      </c>
      <c r="E677" s="1" t="n">
        <v>46291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63094-2023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46291</v>
      </c>
      <c r="F678" t="inlineStr">
        <is>
          <t>VÄSTRA GÖTALANDS LÄN</t>
        </is>
      </c>
      <c r="G678" t="inlineStr">
        <is>
          <t>ULRICEHAMN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46291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45280</v>
      </c>
      <c r="E680" s="1" t="n">
        <v>46291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46291</v>
      </c>
      <c r="F681" t="inlineStr">
        <is>
          <t>VÄSTRA GÖTALANDS LÄN</t>
        </is>
      </c>
      <c r="G681" t="inlineStr">
        <is>
          <t>ULRICEHAMN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16680-2024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46291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46291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45677</v>
      </c>
      <c r="E684" s="1" t="n">
        <v>46291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12401-2024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46291</v>
      </c>
      <c r="F685" t="inlineStr">
        <is>
          <t>VÄSTRA GÖTALANDS LÄN</t>
        </is>
      </c>
      <c r="G685" t="inlineStr">
        <is>
          <t>ULRICEHAMN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45357</v>
      </c>
      <c r="E686" s="1" t="n">
        <v>46291</v>
      </c>
      <c r="F686" t="inlineStr">
        <is>
          <t>VÄSTRA GÖTALANDS LÄN</t>
        </is>
      </c>
      <c r="G686" t="inlineStr">
        <is>
          <t>ULRICEHAMN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45259</v>
      </c>
      <c r="E687" s="1" t="n">
        <v>46291</v>
      </c>
      <c r="F687" t="inlineStr">
        <is>
          <t>VÄSTRA GÖTALANDS LÄN</t>
        </is>
      </c>
      <c r="G687" t="inlineStr">
        <is>
          <t>ULRICEHAMN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45578</v>
      </c>
      <c r="E688" s="1" t="n">
        <v>46291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46291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46291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16475-2024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46291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5471-2024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45332</v>
      </c>
      <c r="E692" s="1" t="n">
        <v>46291</v>
      </c>
      <c r="F692" t="inlineStr">
        <is>
          <t>VÄSTRA GÖTALANDS LÄN</t>
        </is>
      </c>
      <c r="G692" t="inlineStr">
        <is>
          <t>ULRICEHAMN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46291</v>
      </c>
      <c r="F693" t="inlineStr">
        <is>
          <t>VÄSTRA GÖTALANDS LÄN</t>
        </is>
      </c>
      <c r="G693" t="inlineStr">
        <is>
          <t>ULRICEHAMN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46291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46291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46291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21831-2025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46291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46291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46291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22152-2025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45785</v>
      </c>
      <c r="E700" s="1" t="n">
        <v>46291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8368-2025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46291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46291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46291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46291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1872-2022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44658</v>
      </c>
      <c r="E705" s="1" t="n">
        <v>46291</v>
      </c>
      <c r="F705" t="inlineStr">
        <is>
          <t>VÄSTRA GÖTALANDS LÄN</t>
        </is>
      </c>
      <c r="G705" t="inlineStr">
        <is>
          <t>ULRICEHAMN</t>
        </is>
      </c>
      <c r="I705" t="n">
        <v>56.8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46291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5926-2022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44854</v>
      </c>
      <c r="E707" s="1" t="n">
        <v>46291</v>
      </c>
      <c r="F707" t="inlineStr">
        <is>
          <t>VÄSTRA GÖTALANDS LÄN</t>
        </is>
      </c>
      <c r="G707" t="inlineStr">
        <is>
          <t>ULRICEHAMN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4202-2022</t>
        </is>
      </c>
      <c r="B708" t="inlineStr">
        <is>
          <t>samrådsanmälan</t>
        </is>
      </c>
      <c r="C708" t="inlineStr">
        <is>
          <t>Åtgärd i nyckelbiotop</t>
        </is>
      </c>
      <c r="D708" s="1" t="n">
        <v>44771</v>
      </c>
      <c r="E708" s="1" t="n">
        <v>46291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7380-2021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44470</v>
      </c>
      <c r="E709" s="1" t="n">
        <v>46291</v>
      </c>
      <c r="F709" t="inlineStr">
        <is>
          <t>VÄSTRA GÖTALANDS LÄN</t>
        </is>
      </c>
      <c r="G709" t="inlineStr">
        <is>
          <t>ULRICEHAMN</t>
        </is>
      </c>
      <c r="I709" t="n">
        <v>15.7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46291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46291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46291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46291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46291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46291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46291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2026-09-26T02:04:34Z</dcterms:created>
  <dcterms:modified xmlns:dcterms="http://purl.org/dc/terms/" xmlns:xsi="http://www.w3.org/2001/XMLSchema-instance" xsi:type="dcterms:W3CDTF">2026-09-26T02:04:34Z</dcterms:modified>
</cp:coreProperties>
</file>