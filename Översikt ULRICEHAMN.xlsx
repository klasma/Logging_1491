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38156-2026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46281</v>
      </c>
      <c r="E2" s="1" t="n">
        <v>46295</v>
      </c>
      <c r="F2" t="inlineStr">
        <is>
          <t>VÄSTRA GÖTALANDS LÄN</t>
        </is>
      </c>
      <c r="G2" t="inlineStr">
        <is>
          <t>ULRICEHAMN</t>
        </is>
      </c>
      <c r="I2" t="n">
        <v>1.9</v>
      </c>
      <c r="J2" t="n">
        <v>12</v>
      </c>
      <c r="K2" t="n">
        <v>3</v>
      </c>
      <c r="L2" t="n">
        <v>3</v>
      </c>
      <c r="M2" t="n">
        <v>1</v>
      </c>
      <c r="N2" t="n">
        <v>2</v>
      </c>
      <c r="O2" t="n">
        <v>0</v>
      </c>
      <c r="P2" t="n">
        <v>0</v>
      </c>
      <c r="Q2" t="n">
        <v>6</v>
      </c>
      <c r="R2" t="n">
        <v>3</v>
      </c>
      <c r="S2" t="n">
        <v>22</v>
      </c>
      <c r="T2" t="n">
        <v>22</v>
      </c>
      <c r="U2" t="n">
        <v>0</v>
      </c>
      <c r="V2" s="2" t="inlineStr">
        <is>
          <t>Ask
Skogsalm
Brunfläckig pärlemorfjäril
Drillsnäppa
Järnsparv
Mindre tåtelsmygare
Korallrot
Mönjevaxing
Trådticka
Ekbräken
Kärrviol
Liljekonvalj
Stjärtmes
Ängskovall
Större brunfladdermus
Svartvit flugsnappare
Trädlärka
Huggorm
Kopparödla
Vanlig groda
Vanlig snok
Grönvit nattviol</t>
        </is>
      </c>
      <c r="W2">
        <f>HYPERLINK("https://klasma.github.io/Logging_1491/artfynd/A 38156-2026 artfynd.xlsx", "A 38156-2026")</f>
        <v/>
      </c>
      <c r="X2">
        <f>HYPERLINK("https://klasma.github.io/Logging_1491/kartor/A 38156-2026 karta.png", "A 38156-2026")</f>
        <v/>
      </c>
      <c r="Y2">
        <f>HYPERLINK("https://klasma.github.io/Logging_1491/kartor_geotiff/A 38156-2026 georefererad karta.tif", "A 38156-2026")</f>
        <v/>
      </c>
      <c r="AA2">
        <f>HYPERLINK("https://klasma.github.io/Logging_1491/klagomål/A 38156-2026 FSC-klagomål.docx", "A 38156-2026")</f>
        <v/>
      </c>
      <c r="AB2">
        <f>HYPERLINK("https://klasma.github.io/Logging_1491/klagomålsmail/A 38156-2026 FSC-klagomål mail.docx", "A 38156-2026")</f>
        <v/>
      </c>
      <c r="AC2">
        <f>HYPERLINK("https://klasma.github.io/Logging_1491/tillsyn/A 38156-2026 tillsynsbegäran.docx", "A 38156-2026")</f>
        <v/>
      </c>
      <c r="AD2">
        <f>HYPERLINK("https://klasma.github.io/Logging_1491/tillsynsmail/A 38156-2026 tillsynsbegäran mail.docx", "A 38156-2026")</f>
        <v/>
      </c>
      <c r="AE2">
        <f>HYPERLINK("https://klasma.github.io/Logging_1491/fåglar/A 38156-2026 prioriterade fågelarter.docx", "A 38156-2026")</f>
        <v/>
      </c>
    </row>
    <row r="3" ht="15" customHeight="1">
      <c r="A3" t="inlineStr">
        <is>
          <t>A 64789-2023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45282</v>
      </c>
      <c r="E3" s="1" t="n">
        <v>46295</v>
      </c>
      <c r="F3" t="inlineStr">
        <is>
          <t>VÄSTRA GÖTALANDS LÄN</t>
        </is>
      </c>
      <c r="G3" t="inlineStr">
        <is>
          <t>ULRICEHAMN</t>
        </is>
      </c>
      <c r="I3" t="n">
        <v>1</v>
      </c>
      <c r="J3" t="n">
        <v>4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4</v>
      </c>
      <c r="T3" t="n">
        <v>4</v>
      </c>
      <c r="U3" t="n">
        <v>4</v>
      </c>
      <c r="V3" s="2" t="inlineStr">
        <is>
          <t>Brunlångöra
Nordfladdermus
Dvärgpipistrell
Större brunfladdermus</t>
        </is>
      </c>
      <c r="W3">
        <f>HYPERLINK("https://klasma.github.io/Logging_1491/artfynd/A 64789-2023 artfynd.xlsx", "A 64789-2023")</f>
        <v/>
      </c>
      <c r="X3">
        <f>HYPERLINK("https://klasma.github.io/Logging_1491/kartor/A 64789-2023 karta.png", "A 64789-2023")</f>
        <v/>
      </c>
      <c r="Y3">
        <f>HYPERLINK("https://klasma.github.io/Logging_1491/kartor_geotiff/A 64789-2023 georefererad karta.tif", "A 64789-2023")</f>
        <v/>
      </c>
      <c r="AA3">
        <f>HYPERLINK("https://klasma.github.io/Logging_1491/klagomål/A 64789-2023 FSC-klagomål.docx", "A 64789-2023")</f>
        <v/>
      </c>
      <c r="AB3">
        <f>HYPERLINK("https://klasma.github.io/Logging_1491/klagomålsmail/A 64789-2023 FSC-klagomål mail.docx", "A 64789-2023")</f>
        <v/>
      </c>
      <c r="AC3">
        <f>HYPERLINK("https://klasma.github.io/Logging_1491/tillsyn/A 64789-2023 tillsynsbegäran.docx", "A 64789-2023")</f>
        <v/>
      </c>
      <c r="AD3">
        <f>HYPERLINK("https://klasma.github.io/Logging_1491/tillsynsmail/A 64789-2023 tillsynsbegäran mail.docx", "A 64789-2023")</f>
        <v/>
      </c>
    </row>
    <row r="4" ht="15" customHeight="1">
      <c r="A4" t="inlineStr">
        <is>
          <t>A 35643-2023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45147</v>
      </c>
      <c r="E4" s="1" t="n">
        <v>46295</v>
      </c>
      <c r="F4" t="inlineStr">
        <is>
          <t>VÄSTRA GÖTALANDS LÄN</t>
        </is>
      </c>
      <c r="G4" t="inlineStr">
        <is>
          <t>ULRICEHAMN</t>
        </is>
      </c>
      <c r="I4" t="n">
        <v>11.9</v>
      </c>
      <c r="J4" t="n">
        <v>0</v>
      </c>
      <c r="K4" t="n">
        <v>0</v>
      </c>
      <c r="L4" t="n">
        <v>2</v>
      </c>
      <c r="M4" t="n">
        <v>0</v>
      </c>
      <c r="N4" t="n">
        <v>2</v>
      </c>
      <c r="O4" t="n">
        <v>0</v>
      </c>
      <c r="P4" t="n">
        <v>0</v>
      </c>
      <c r="Q4" t="n">
        <v>4</v>
      </c>
      <c r="R4" t="n">
        <v>2</v>
      </c>
      <c r="S4" t="n">
        <v>4</v>
      </c>
      <c r="T4" t="n">
        <v>4</v>
      </c>
      <c r="U4" t="n">
        <v>4</v>
      </c>
      <c r="V4" s="2" t="inlineStr">
        <is>
          <t>Ask
Skogsalm
Svinrot
Åkerkulla</t>
        </is>
      </c>
      <c r="W4">
        <f>HYPERLINK("https://klasma.github.io/Logging_1491/artfynd/A 35643-2023 artfynd.xlsx", "A 35643-2023")</f>
        <v/>
      </c>
      <c r="X4">
        <f>HYPERLINK("https://klasma.github.io/Logging_1491/kartor/A 35643-2023 karta.png", "A 35643-2023")</f>
        <v/>
      </c>
      <c r="Y4">
        <f>HYPERLINK("https://klasma.github.io/Logging_1491/kartor_geotiff/A 35643-2023 georefererad karta.tif", "A 35643-2023")</f>
        <v/>
      </c>
      <c r="AA4">
        <f>HYPERLINK("https://klasma.github.io/Logging_1491/klagomål/A 35643-2023 FSC-klagomål.docx", "A 35643-2023")</f>
        <v/>
      </c>
      <c r="AB4">
        <f>HYPERLINK("https://klasma.github.io/Logging_1491/klagomålsmail/A 35643-2023 FSC-klagomål mail.docx", "A 35643-2023")</f>
        <v/>
      </c>
      <c r="AC4">
        <f>HYPERLINK("https://klasma.github.io/Logging_1491/tillsyn/A 35643-2023 tillsynsbegäran.docx", "A 35643-2023")</f>
        <v/>
      </c>
      <c r="AD4">
        <f>HYPERLINK("https://klasma.github.io/Logging_1491/tillsynsmail/A 35643-2023 tillsynsbegäran mail.docx", "A 35643-2023")</f>
        <v/>
      </c>
    </row>
    <row r="5" ht="15" customHeight="1">
      <c r="A5" t="inlineStr">
        <is>
          <t>S 7783-2021</t>
        </is>
      </c>
      <c r="B5" t="inlineStr">
        <is>
          <t>samrådsanmälan</t>
        </is>
      </c>
      <c r="C5" t="inlineStr">
        <is>
          <t>Askåterföring</t>
        </is>
      </c>
      <c r="D5" s="1" t="n">
        <v>44481</v>
      </c>
      <c r="E5" s="1" t="n">
        <v>46295</v>
      </c>
      <c r="F5" t="inlineStr">
        <is>
          <t>VÄSTRA GÖTALANDS LÄN</t>
        </is>
      </c>
      <c r="G5" t="inlineStr">
        <is>
          <t>ULRICEHAMN</t>
        </is>
      </c>
      <c r="I5" t="n">
        <v>34.2</v>
      </c>
      <c r="J5" t="n">
        <v>3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Entita
Sparvuggla
Lundbräsma
Grönsiska</t>
        </is>
      </c>
      <c r="W5">
        <f>HYPERLINK("https://klasma.github.io/Logging_1491/artfynd/S 7783-2021 artfynd.xlsx", "S 7783-2021")</f>
        <v/>
      </c>
      <c r="X5">
        <f>HYPERLINK("https://klasma.github.io/Logging_1491/kartor/S 7783-2021 karta.png", "S 7783-2021")</f>
        <v/>
      </c>
      <c r="Y5">
        <f>HYPERLINK("https://klasma.github.io/Logging_1491/kartor_geotiff/S 7783-2021 georefererad karta.tif", "S 7783-2021")</f>
        <v/>
      </c>
      <c r="AA5">
        <f>HYPERLINK("https://klasma.github.io/Logging_1491/klagomål/S 7783-2021 FSC-klagomål.docx", "S 7783-2021")</f>
        <v/>
      </c>
      <c r="AB5">
        <f>HYPERLINK("https://klasma.github.io/Logging_1491/klagomålsmail/S 7783-2021 FSC-klagomål mail.docx", "S 7783-2021")</f>
        <v/>
      </c>
      <c r="AC5">
        <f>HYPERLINK("https://klasma.github.io/Logging_1491/tillsyn/S 7783-2021 tillsynsbegäran.docx", "S 7783-2021")</f>
        <v/>
      </c>
      <c r="AD5">
        <f>HYPERLINK("https://klasma.github.io/Logging_1491/tillsynsmail/S 7783-2021 tillsynsbegäran mail.docx", "S 7783-2021")</f>
        <v/>
      </c>
      <c r="AE5">
        <f>HYPERLINK("https://klasma.github.io/Logging_1491/fåglar/S 7783-2021 prioriterade fågelarter.docx", "S 7783-2021")</f>
        <v/>
      </c>
    </row>
    <row r="6" ht="15" customHeight="1">
      <c r="A6" t="inlineStr">
        <is>
          <t>A 11373-2026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46083</v>
      </c>
      <c r="E6" s="1" t="n">
        <v>46295</v>
      </c>
      <c r="F6" t="inlineStr">
        <is>
          <t>VÄSTRA GÖTALANDS LÄN</t>
        </is>
      </c>
      <c r="G6" t="inlineStr">
        <is>
          <t>ULRICEHAMN</t>
        </is>
      </c>
      <c r="H6" t="inlineStr">
        <is>
          <t>Sveaskog</t>
        </is>
      </c>
      <c r="I6" t="n">
        <v>5.2</v>
      </c>
      <c r="J6" t="n">
        <v>0</v>
      </c>
      <c r="K6" t="n">
        <v>1</v>
      </c>
      <c r="L6" t="n">
        <v>0</v>
      </c>
      <c r="M6" t="n">
        <v>1</v>
      </c>
      <c r="N6" t="n">
        <v>1</v>
      </c>
      <c r="O6" t="n">
        <v>0</v>
      </c>
      <c r="P6" t="n">
        <v>0</v>
      </c>
      <c r="Q6" t="n">
        <v>2</v>
      </c>
      <c r="R6" t="n">
        <v>2</v>
      </c>
      <c r="S6" t="n">
        <v>3</v>
      </c>
      <c r="T6" t="n">
        <v>4</v>
      </c>
      <c r="U6" t="n">
        <v>0</v>
      </c>
      <c r="V6" s="2" t="inlineStr">
        <is>
          <t>Ask
Gulvit blekspik
Scharlakansskål</t>
        </is>
      </c>
      <c r="W6">
        <f>HYPERLINK("https://klasma.github.io/Logging_1491/artfynd/A 11373-2026 artfynd.xlsx", "A 11373-2026")</f>
        <v/>
      </c>
      <c r="X6">
        <f>HYPERLINK("https://klasma.github.io/Logging_1491/kartor/A 11373-2026 karta.png", "A 11373-2026")</f>
        <v/>
      </c>
      <c r="Y6">
        <f>HYPERLINK("https://klasma.github.io/Logging_1491/kartor_geotiff/A 11373-2026 georefererad karta.tif", "A 11373-2026")</f>
        <v/>
      </c>
      <c r="AA6">
        <f>HYPERLINK("https://klasma.github.io/Logging_1491/klagomål/A 11373-2026 FSC-klagomål.docx", "A 11373-2026")</f>
        <v/>
      </c>
      <c r="AB6">
        <f>HYPERLINK("https://klasma.github.io/Logging_1491/klagomålsmail/A 11373-2026 FSC-klagomål mail.docx", "A 11373-2026")</f>
        <v/>
      </c>
      <c r="AC6">
        <f>HYPERLINK("https://klasma.github.io/Logging_1491/tillsyn/A 11373-2026 tillsynsbegäran.docx", "A 11373-2026")</f>
        <v/>
      </c>
      <c r="AD6">
        <f>HYPERLINK("https://klasma.github.io/Logging_1491/tillsynsmail/A 11373-2026 tillsynsbegäran mail.docx", "A 11373-2026")</f>
        <v/>
      </c>
    </row>
    <row r="7" ht="15" customHeight="1">
      <c r="A7" t="inlineStr">
        <is>
          <t>A 13785-2026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46097</v>
      </c>
      <c r="E7" s="1" t="n">
        <v>46295</v>
      </c>
      <c r="F7" t="inlineStr">
        <is>
          <t>VÄSTRA GÖTALANDS LÄN</t>
        </is>
      </c>
      <c r="G7" t="inlineStr">
        <is>
          <t>ULRICEHAMN</t>
        </is>
      </c>
      <c r="H7" t="inlineStr">
        <is>
          <t>Sveaskog</t>
        </is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0</v>
      </c>
      <c r="V7" s="2" t="inlineStr">
        <is>
          <t>Vanlig groda
Vanlig padda
Revlummer</t>
        </is>
      </c>
      <c r="W7">
        <f>HYPERLINK("https://klasma.github.io/Logging_1491/artfynd/A 13785-2026 artfynd.xlsx", "A 13785-2026")</f>
        <v/>
      </c>
      <c r="X7">
        <f>HYPERLINK("https://klasma.github.io/Logging_1491/kartor/A 13785-2026 karta.png", "A 13785-2026")</f>
        <v/>
      </c>
      <c r="Y7">
        <f>HYPERLINK("https://klasma.github.io/Logging_1491/kartor_geotiff/A 13785-2026 georefererad karta.tif", "A 13785-2026")</f>
        <v/>
      </c>
      <c r="AA7">
        <f>HYPERLINK("https://klasma.github.io/Logging_1491/klagomål/A 13785-2026 FSC-klagomål.docx", "A 13785-2026")</f>
        <v/>
      </c>
      <c r="AB7">
        <f>HYPERLINK("https://klasma.github.io/Logging_1491/klagomålsmail/A 13785-2026 FSC-klagomål mail.docx", "A 13785-2026")</f>
        <v/>
      </c>
      <c r="AC7">
        <f>HYPERLINK("https://klasma.github.io/Logging_1491/tillsyn/A 13785-2026 tillsynsbegäran.docx", "A 13785-2026")</f>
        <v/>
      </c>
      <c r="AD7">
        <f>HYPERLINK("https://klasma.github.io/Logging_1491/tillsynsmail/A 13785-2026 tillsynsbegäran mail.docx", "A 13785-2026")</f>
        <v/>
      </c>
    </row>
    <row r="8" ht="15" customHeight="1">
      <c r="A8" t="inlineStr">
        <is>
          <t>A 18959-2022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44690</v>
      </c>
      <c r="E8" s="1" t="n">
        <v>46295</v>
      </c>
      <c r="F8" t="inlineStr">
        <is>
          <t>VÄSTRA GÖTALANDS LÄN</t>
        </is>
      </c>
      <c r="G8" t="inlineStr">
        <is>
          <t>ULRICEHAMN</t>
        </is>
      </c>
      <c r="H8" t="inlineStr">
        <is>
          <t>Kommuner</t>
        </is>
      </c>
      <c r="I8" t="n">
        <v>5.8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7</v>
      </c>
      <c r="U8" t="n">
        <v>0</v>
      </c>
      <c r="V8" s="2" t="inlineStr">
        <is>
          <t>Ask
Guldlockmossa
Hasselmus</t>
        </is>
      </c>
      <c r="W8">
        <f>HYPERLINK("https://klasma.github.io/Logging_1491/artfynd/A 18959-2022 artfynd.xlsx", "A 18959-2022")</f>
        <v/>
      </c>
      <c r="X8">
        <f>HYPERLINK("https://klasma.github.io/Logging_1491/kartor/A 18959-2022 karta.png", "A 18959-2022")</f>
        <v/>
      </c>
      <c r="Y8">
        <f>HYPERLINK("https://klasma.github.io/Logging_1491/kartor_geotiff/A 18959-2022 georefererad karta.tif", "A 18959-2022")</f>
        <v/>
      </c>
      <c r="AA8">
        <f>HYPERLINK("https://klasma.github.io/Logging_1491/klagomål/A 18959-2022 FSC-klagomål.docx", "A 18959-2022")</f>
        <v/>
      </c>
      <c r="AB8">
        <f>HYPERLINK("https://klasma.github.io/Logging_1491/klagomålsmail/A 18959-2022 FSC-klagomål mail.docx", "A 18959-2022")</f>
        <v/>
      </c>
      <c r="AC8">
        <f>HYPERLINK("https://klasma.github.io/Logging_1491/tillsyn/A 18959-2022 tillsynsbegäran.docx", "A 18959-2022")</f>
        <v/>
      </c>
      <c r="AD8">
        <f>HYPERLINK("https://klasma.github.io/Logging_1491/tillsynsmail/A 18959-2022 tillsynsbegäran mail.docx", "A 18959-2022")</f>
        <v/>
      </c>
    </row>
    <row r="9" ht="15" customHeight="1">
      <c r="A9" t="inlineStr">
        <is>
          <t>A 8978-2024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45357</v>
      </c>
      <c r="E9" s="1" t="n">
        <v>46295</v>
      </c>
      <c r="F9" t="inlineStr">
        <is>
          <t>VÄSTRA GÖTALANDS LÄN</t>
        </is>
      </c>
      <c r="G9" t="inlineStr">
        <is>
          <t>ULRICEHAMN</t>
        </is>
      </c>
      <c r="H9" t="inlineStr">
        <is>
          <t>Sveaskog</t>
        </is>
      </c>
      <c r="I9" t="n">
        <v>1.8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5</v>
      </c>
      <c r="U9" t="n">
        <v>5</v>
      </c>
      <c r="V9" s="2" t="inlineStr">
        <is>
          <t>Vanlig groda
Vanlig padda
Revlummer</t>
        </is>
      </c>
      <c r="W9">
        <f>HYPERLINK("https://klasma.github.io/Logging_1491/artfynd/A 8978-2024 artfynd.xlsx", "A 8978-2024")</f>
        <v/>
      </c>
      <c r="X9">
        <f>HYPERLINK("https://klasma.github.io/Logging_1491/kartor/A 8978-2024 karta.png", "A 8978-2024")</f>
        <v/>
      </c>
      <c r="Y9">
        <f>HYPERLINK("https://klasma.github.io/Logging_1491/kartor_geotiff/A 8978-2024 georefererad karta.tif", "A 8978-2024")</f>
        <v/>
      </c>
      <c r="AA9">
        <f>HYPERLINK("https://klasma.github.io/Logging_1491/klagomål/A 8978-2024 FSC-klagomål.docx", "A 8978-2024")</f>
        <v/>
      </c>
      <c r="AB9">
        <f>HYPERLINK("https://klasma.github.io/Logging_1491/klagomålsmail/A 8978-2024 FSC-klagomål mail.docx", "A 8978-2024")</f>
        <v/>
      </c>
      <c r="AC9">
        <f>HYPERLINK("https://klasma.github.io/Logging_1491/tillsyn/A 8978-2024 tillsynsbegäran.docx", "A 8978-2024")</f>
        <v/>
      </c>
      <c r="AD9">
        <f>HYPERLINK("https://klasma.github.io/Logging_1491/tillsynsmail/A 8978-2024 tillsynsbegäran mail.docx", "A 8978-2024")</f>
        <v/>
      </c>
    </row>
    <row r="10" ht="15" customHeight="1">
      <c r="A10" t="inlineStr">
        <is>
          <t>S 558-2026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46083</v>
      </c>
      <c r="E10" s="1" t="n">
        <v>46295</v>
      </c>
      <c r="F10" t="inlineStr">
        <is>
          <t>VÄSTRA GÖTALANDS LÄN</t>
        </is>
      </c>
      <c r="G10" t="inlineStr">
        <is>
          <t>ULRICEHAMN</t>
        </is>
      </c>
      <c r="H10" t="inlineStr">
        <is>
          <t>Sveaskog</t>
        </is>
      </c>
      <c r="I10" t="n">
        <v>5.2</v>
      </c>
      <c r="J10" t="n">
        <v>0</v>
      </c>
      <c r="K10" t="n">
        <v>1</v>
      </c>
      <c r="L10" t="n">
        <v>0</v>
      </c>
      <c r="M10" t="n">
        <v>1</v>
      </c>
      <c r="N10" t="n">
        <v>1</v>
      </c>
      <c r="O10" t="n">
        <v>0</v>
      </c>
      <c r="P10" t="n">
        <v>0</v>
      </c>
      <c r="Q10" t="n">
        <v>2</v>
      </c>
      <c r="R10" t="n">
        <v>2</v>
      </c>
      <c r="S10" t="n">
        <v>3</v>
      </c>
      <c r="T10" t="n">
        <v>4</v>
      </c>
      <c r="U10" t="n">
        <v>0</v>
      </c>
      <c r="V10" s="2" t="inlineStr">
        <is>
          <t>Ask
Gulvit blekspik
Scharlakansskål</t>
        </is>
      </c>
      <c r="W10">
        <f>HYPERLINK("https://klasma.github.io/Logging_1491/artfynd/S 558-2026 artfynd.xlsx", "S 558-2026")</f>
        <v/>
      </c>
      <c r="X10">
        <f>HYPERLINK("https://klasma.github.io/Logging_1491/kartor/S 558-2026 karta.png", "S 558-2026")</f>
        <v/>
      </c>
      <c r="Y10">
        <f>HYPERLINK("https://klasma.github.io/Logging_1491/kartor_geotiff/S 558-2026 georefererad karta.tif", "S 558-2026")</f>
        <v/>
      </c>
      <c r="AA10">
        <f>HYPERLINK("https://klasma.github.io/Logging_1491/klagomål/S 558-2026 FSC-klagomål.docx", "S 558-2026")</f>
        <v/>
      </c>
      <c r="AB10">
        <f>HYPERLINK("https://klasma.github.io/Logging_1491/klagomålsmail/S 558-2026 FSC-klagomål mail.docx", "S 558-2026")</f>
        <v/>
      </c>
      <c r="AC10">
        <f>HYPERLINK("https://klasma.github.io/Logging_1491/tillsyn/S 558-2026 tillsynsbegäran.docx", "S 558-2026")</f>
        <v/>
      </c>
      <c r="AD10">
        <f>HYPERLINK("https://klasma.github.io/Logging_1491/tillsynsmail/S 558-2026 tillsynsbegäran mail.docx", "S 558-2026")</f>
        <v/>
      </c>
    </row>
    <row r="11" ht="15" customHeight="1">
      <c r="A11" t="inlineStr">
        <is>
          <t>A 3495-2022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44585</v>
      </c>
      <c r="E11" s="1" t="n">
        <v>46295</v>
      </c>
      <c r="F11" t="inlineStr">
        <is>
          <t>VÄSTRA GÖTALANDS LÄN</t>
        </is>
      </c>
      <c r="G11" t="inlineStr">
        <is>
          <t>ULRICEHAMN</t>
        </is>
      </c>
      <c r="I11" t="n">
        <v>8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Fällmossa
Guldlockmossa</t>
        </is>
      </c>
      <c r="W11">
        <f>HYPERLINK("https://klasma.github.io/Logging_1491/artfynd/A 3495-2022 artfynd.xlsx", "A 3495-2022")</f>
        <v/>
      </c>
      <c r="X11">
        <f>HYPERLINK("https://klasma.github.io/Logging_1491/kartor/A 3495-2022 karta.png", "A 3495-2022")</f>
        <v/>
      </c>
      <c r="Y11">
        <f>HYPERLINK("https://klasma.github.io/Logging_1491/kartor_geotiff/A 3495-2022 georefererad karta.tif", "A 3495-2022")</f>
        <v/>
      </c>
      <c r="AA11">
        <f>HYPERLINK("https://klasma.github.io/Logging_1491/klagomål/A 3495-2022 FSC-klagomål.docx", "A 3495-2022")</f>
        <v/>
      </c>
      <c r="AB11">
        <f>HYPERLINK("https://klasma.github.io/Logging_1491/klagomålsmail/A 3495-2022 FSC-klagomål mail.docx", "A 3495-2022")</f>
        <v/>
      </c>
      <c r="AC11">
        <f>HYPERLINK("https://klasma.github.io/Logging_1491/tillsyn/A 3495-2022 tillsynsbegäran.docx", "A 3495-2022")</f>
        <v/>
      </c>
      <c r="AD11">
        <f>HYPERLINK("https://klasma.github.io/Logging_1491/tillsynsmail/A 3495-2022 tillsynsbegäran mail.docx", "A 3495-2022")</f>
        <v/>
      </c>
    </row>
    <row r="12" ht="15" customHeight="1">
      <c r="A12" t="inlineStr">
        <is>
          <t>A 41740-2024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45561</v>
      </c>
      <c r="E12" s="1" t="n">
        <v>46295</v>
      </c>
      <c r="F12" t="inlineStr">
        <is>
          <t>VÄSTRA GÖTALANDS LÄN</t>
        </is>
      </c>
      <c r="G12" t="inlineStr">
        <is>
          <t>ULRICEHAMN</t>
        </is>
      </c>
      <c r="I12" t="n">
        <v>2.6</v>
      </c>
      <c r="J12" t="n">
        <v>1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Bivråk
Västlig hakmossa</t>
        </is>
      </c>
      <c r="W12">
        <f>HYPERLINK("https://klasma.github.io/Logging_1491/artfynd/A 41740-2024 artfynd.xlsx", "A 41740-2024")</f>
        <v/>
      </c>
      <c r="X12">
        <f>HYPERLINK("https://klasma.github.io/Logging_1491/kartor/A 41740-2024 karta.png", "A 41740-2024")</f>
        <v/>
      </c>
      <c r="Y12">
        <f>HYPERLINK("https://klasma.github.io/Logging_1491/kartor_geotiff/A 41740-2024 georefererad karta.tif", "A 41740-2024")</f>
        <v/>
      </c>
      <c r="AA12">
        <f>HYPERLINK("https://klasma.github.io/Logging_1491/klagomål/A 41740-2024 FSC-klagomål.docx", "A 41740-2024")</f>
        <v/>
      </c>
      <c r="AB12">
        <f>HYPERLINK("https://klasma.github.io/Logging_1491/klagomålsmail/A 41740-2024 FSC-klagomål mail.docx", "A 41740-2024")</f>
        <v/>
      </c>
      <c r="AC12">
        <f>HYPERLINK("https://klasma.github.io/Logging_1491/tillsyn/A 41740-2024 tillsynsbegäran.docx", "A 41740-2024")</f>
        <v/>
      </c>
      <c r="AD12">
        <f>HYPERLINK("https://klasma.github.io/Logging_1491/tillsynsmail/A 41740-2024 tillsynsbegäran mail.docx", "A 41740-2024")</f>
        <v/>
      </c>
      <c r="AE12">
        <f>HYPERLINK("https://klasma.github.io/Logging_1491/fåglar/A 41740-2024 prioriterade fågelarter.docx", "A 41740-2024")</f>
        <v/>
      </c>
    </row>
    <row r="13" ht="15" customHeight="1">
      <c r="A13" t="inlineStr">
        <is>
          <t>A 22225-2025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45785</v>
      </c>
      <c r="E13" s="1" t="n">
        <v>46295</v>
      </c>
      <c r="F13" t="inlineStr">
        <is>
          <t>VÄSTRA GÖTALANDS LÄN</t>
        </is>
      </c>
      <c r="G13" t="inlineStr">
        <is>
          <t>ULRICEHAMN</t>
        </is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Springkorn
Revlummer</t>
        </is>
      </c>
      <c r="W13">
        <f>HYPERLINK("https://klasma.github.io/Logging_1491/artfynd/A 22225-2025 artfynd.xlsx", "A 22225-2025")</f>
        <v/>
      </c>
      <c r="X13">
        <f>HYPERLINK("https://klasma.github.io/Logging_1491/kartor/A 22225-2025 karta.png", "A 22225-2025")</f>
        <v/>
      </c>
      <c r="Y13">
        <f>HYPERLINK("https://klasma.github.io/Logging_1491/kartor_geotiff/A 22225-2025 georefererad karta.tif", "A 22225-2025")</f>
        <v/>
      </c>
      <c r="AA13">
        <f>HYPERLINK("https://klasma.github.io/Logging_1491/klagomål/A 22225-2025 FSC-klagomål.docx", "A 22225-2025")</f>
        <v/>
      </c>
      <c r="AB13">
        <f>HYPERLINK("https://klasma.github.io/Logging_1491/klagomålsmail/A 22225-2025 FSC-klagomål mail.docx", "A 22225-2025")</f>
        <v/>
      </c>
      <c r="AC13">
        <f>HYPERLINK("https://klasma.github.io/Logging_1491/tillsyn/A 22225-2025 tillsynsbegäran.docx", "A 22225-2025")</f>
        <v/>
      </c>
      <c r="AD13">
        <f>HYPERLINK("https://klasma.github.io/Logging_1491/tillsynsmail/A 22225-2025 tillsynsbegäran mail.docx", "A 22225-2025")</f>
        <v/>
      </c>
    </row>
    <row r="14" ht="15" customHeight="1">
      <c r="A14" t="inlineStr">
        <is>
          <t>A 13788-2026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46097</v>
      </c>
      <c r="E14" s="1" t="n">
        <v>46295</v>
      </c>
      <c r="F14" t="inlineStr">
        <is>
          <t>VÄSTRA GÖTALANDS LÄN</t>
        </is>
      </c>
      <c r="G14" t="inlineStr">
        <is>
          <t>ULRICEHAMN</t>
        </is>
      </c>
      <c r="H14" t="inlineStr">
        <is>
          <t>Sveaskog</t>
        </is>
      </c>
      <c r="I14" t="n">
        <v>0.8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Vanlig groda
Vanlig padda</t>
        </is>
      </c>
      <c r="W14">
        <f>HYPERLINK("https://klasma.github.io/Logging_1491/artfynd/A 13788-2026 artfynd.xlsx", "A 13788-2026")</f>
        <v/>
      </c>
      <c r="X14">
        <f>HYPERLINK("https://klasma.github.io/Logging_1491/kartor/A 13788-2026 karta.png", "A 13788-2026")</f>
        <v/>
      </c>
      <c r="Y14">
        <f>HYPERLINK("https://klasma.github.io/Logging_1491/kartor_geotiff/A 13788-2026 georefererad karta.tif", "A 13788-2026")</f>
        <v/>
      </c>
      <c r="AA14">
        <f>HYPERLINK("https://klasma.github.io/Logging_1491/klagomål/A 13788-2026 FSC-klagomål.docx", "A 13788-2026")</f>
        <v/>
      </c>
      <c r="AB14">
        <f>HYPERLINK("https://klasma.github.io/Logging_1491/klagomålsmail/A 13788-2026 FSC-klagomål mail.docx", "A 13788-2026")</f>
        <v/>
      </c>
      <c r="AC14">
        <f>HYPERLINK("https://klasma.github.io/Logging_1491/tillsyn/A 13788-2026 tillsynsbegäran.docx", "A 13788-2026")</f>
        <v/>
      </c>
      <c r="AD14">
        <f>HYPERLINK("https://klasma.github.io/Logging_1491/tillsynsmail/A 13788-2026 tillsynsbegäran mail.docx", "A 13788-2026")</f>
        <v/>
      </c>
    </row>
    <row r="15" ht="15" customHeight="1">
      <c r="A15" t="inlineStr">
        <is>
          <t>S 761-2026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46097</v>
      </c>
      <c r="E15" s="1" t="n">
        <v>46295</v>
      </c>
      <c r="F15" t="inlineStr">
        <is>
          <t>VÄSTRA GÖTALANDS LÄN</t>
        </is>
      </c>
      <c r="G15" t="inlineStr">
        <is>
          <t>ULRICEHAMN</t>
        </is>
      </c>
      <c r="H15" t="inlineStr">
        <is>
          <t>Sveaskog</t>
        </is>
      </c>
      <c r="I15" t="n">
        <v>2.7</v>
      </c>
      <c r="J15" t="n">
        <v>0</v>
      </c>
      <c r="K15" t="n">
        <v>0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Ask
Gullpudra</t>
        </is>
      </c>
      <c r="W15">
        <f>HYPERLINK("https://klasma.github.io/Logging_1491/artfynd/S 761-2026 artfynd.xlsx", "S 761-2026")</f>
        <v/>
      </c>
      <c r="X15">
        <f>HYPERLINK("https://klasma.github.io/Logging_1491/kartor/S 761-2026 karta.png", "S 761-2026")</f>
        <v/>
      </c>
      <c r="Y15">
        <f>HYPERLINK("https://klasma.github.io/Logging_1491/kartor_geotiff/S 761-2026 georefererad karta.tif", "S 761-2026")</f>
        <v/>
      </c>
      <c r="AA15">
        <f>HYPERLINK("https://klasma.github.io/Logging_1491/klagomål/S 761-2026 FSC-klagomål.docx", "S 761-2026")</f>
        <v/>
      </c>
      <c r="AB15">
        <f>HYPERLINK("https://klasma.github.io/Logging_1491/klagomålsmail/S 761-2026 FSC-klagomål mail.docx", "S 761-2026")</f>
        <v/>
      </c>
      <c r="AC15">
        <f>HYPERLINK("https://klasma.github.io/Logging_1491/tillsyn/S 761-2026 tillsynsbegäran.docx", "S 761-2026")</f>
        <v/>
      </c>
      <c r="AD15">
        <f>HYPERLINK("https://klasma.github.io/Logging_1491/tillsynsmail/S 761-2026 tillsynsbegäran mail.docx", "S 761-2026")</f>
        <v/>
      </c>
    </row>
    <row r="16" ht="15" customHeight="1">
      <c r="A16" t="inlineStr">
        <is>
          <t>A 51770-2022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44872</v>
      </c>
      <c r="E16" s="1" t="n">
        <v>46295</v>
      </c>
      <c r="F16" t="inlineStr">
        <is>
          <t>VÄSTRA GÖTALANDS LÄN</t>
        </is>
      </c>
      <c r="G16" t="inlineStr">
        <is>
          <t>ULRICEHAMN</t>
        </is>
      </c>
      <c r="I16" t="n">
        <v>2.5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Fällmossa</t>
        </is>
      </c>
      <c r="W16">
        <f>HYPERLINK("https://klasma.github.io/Logging_1491/artfynd/A 51770-2022 artfynd.xlsx", "A 51770-2022")</f>
        <v/>
      </c>
      <c r="X16">
        <f>HYPERLINK("https://klasma.github.io/Logging_1491/kartor/A 51770-2022 karta.png", "A 51770-2022")</f>
        <v/>
      </c>
      <c r="Y16">
        <f>HYPERLINK("https://klasma.github.io/Logging_1491/kartor_geotiff/A 51770-2022 georefererad karta.tif", "A 51770-2022")</f>
        <v/>
      </c>
      <c r="AA16">
        <f>HYPERLINK("https://klasma.github.io/Logging_1491/klagomål/A 51770-2022 FSC-klagomål.docx", "A 51770-2022")</f>
        <v/>
      </c>
      <c r="AB16">
        <f>HYPERLINK("https://klasma.github.io/Logging_1491/klagomålsmail/A 51770-2022 FSC-klagomål mail.docx", "A 51770-2022")</f>
        <v/>
      </c>
      <c r="AC16">
        <f>HYPERLINK("https://klasma.github.io/Logging_1491/tillsyn/A 51770-2022 tillsynsbegäran.docx", "A 51770-2022")</f>
        <v/>
      </c>
      <c r="AD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44879</v>
      </c>
      <c r="E17" s="1" t="n">
        <v>46295</v>
      </c>
      <c r="F17" t="inlineStr">
        <is>
          <t>VÄSTRA GÖTALANDS LÄN</t>
        </is>
      </c>
      <c r="G17" t="inlineStr">
        <is>
          <t>ULRICEHAMN</t>
        </is>
      </c>
      <c r="I17" t="n">
        <v>2.6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Ask</t>
        </is>
      </c>
      <c r="W17">
        <f>HYPERLINK("https://klasma.github.io/Logging_1491/artfynd/A 53555-2022 artfynd.xlsx", "A 53555-2022")</f>
        <v/>
      </c>
      <c r="X17">
        <f>HYPERLINK("https://klasma.github.io/Logging_1491/kartor/A 53555-2022 karta.png", "A 53555-2022")</f>
        <v/>
      </c>
      <c r="Y17">
        <f>HYPERLINK("https://klasma.github.io/Logging_1491/kartor_geotiff/A 53555-2022 georefererad karta.tif", "A 53555-2022")</f>
        <v/>
      </c>
      <c r="AA17">
        <f>HYPERLINK("https://klasma.github.io/Logging_1491/klagomål/A 53555-2022 FSC-klagomål.docx", "A 53555-2022")</f>
        <v/>
      </c>
      <c r="AB17">
        <f>HYPERLINK("https://klasma.github.io/Logging_1491/klagomålsmail/A 53555-2022 FSC-klagomål mail.docx", "A 53555-2022")</f>
        <v/>
      </c>
      <c r="AC17">
        <f>HYPERLINK("https://klasma.github.io/Logging_1491/tillsyn/A 53555-2022 tillsynsbegäran.docx", "A 53555-2022")</f>
        <v/>
      </c>
      <c r="AD17">
        <f>HYPERLINK("https://klasma.github.io/Logging_1491/tillsynsmail/A 53555-2022 tillsynsbegäran mail.docx", "A 53555-2022")</f>
        <v/>
      </c>
    </row>
    <row r="18" ht="15" customHeight="1">
      <c r="A18" t="inlineStr">
        <is>
          <t>A 40397-2025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45895</v>
      </c>
      <c r="E18" s="1" t="n">
        <v>46295</v>
      </c>
      <c r="F18" t="inlineStr">
        <is>
          <t>VÄSTRA GÖTALANDS LÄN</t>
        </is>
      </c>
      <c r="G18" t="inlineStr">
        <is>
          <t>ULRICEHAMN</t>
        </is>
      </c>
      <c r="I18" t="n">
        <v>3.9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Kungsfågel</t>
        </is>
      </c>
      <c r="W18">
        <f>HYPERLINK("https://klasma.github.io/Logging_1491/artfynd/A 40397-2025 artfynd.xlsx", "A 40397-2025")</f>
        <v/>
      </c>
      <c r="X18">
        <f>HYPERLINK("https://klasma.github.io/Logging_1491/kartor/A 40397-2025 karta.png", "A 40397-2025")</f>
        <v/>
      </c>
      <c r="Y18">
        <f>HYPERLINK("https://klasma.github.io/Logging_1491/kartor_geotiff/A 40397-2025 georefererad karta.tif", "A 40397-2025")</f>
        <v/>
      </c>
      <c r="AA18">
        <f>HYPERLINK("https://klasma.github.io/Logging_1491/klagomål/A 40397-2025 FSC-klagomål.docx", "A 40397-2025")</f>
        <v/>
      </c>
      <c r="AB18">
        <f>HYPERLINK("https://klasma.github.io/Logging_1491/klagomålsmail/A 40397-2025 FSC-klagomål mail.docx", "A 40397-2025")</f>
        <v/>
      </c>
      <c r="AC18">
        <f>HYPERLINK("https://klasma.github.io/Logging_1491/tillsyn/A 40397-2025 tillsynsbegäran.docx", "A 40397-2025")</f>
        <v/>
      </c>
      <c r="AD18">
        <f>HYPERLINK("https://klasma.github.io/Logging_1491/tillsynsmail/A 40397-2025 tillsynsbegäran mail.docx", "A 40397-2025")</f>
        <v/>
      </c>
    </row>
    <row r="19" ht="15" customHeight="1">
      <c r="A19" t="inlineStr">
        <is>
          <t>A 26380-2025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45806</v>
      </c>
      <c r="E19" s="1" t="n">
        <v>46295</v>
      </c>
      <c r="F19" t="inlineStr">
        <is>
          <t>VÄSTRA GÖTALANDS LÄN</t>
        </is>
      </c>
      <c r="G19" t="inlineStr">
        <is>
          <t>ULRICEHAMN</t>
        </is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Tjäder</t>
        </is>
      </c>
      <c r="W19">
        <f>HYPERLINK("https://klasma.github.io/Logging_1491/artfynd/A 26380-2025 artfynd.xlsx", "A 26380-2025")</f>
        <v/>
      </c>
      <c r="X19">
        <f>HYPERLINK("https://klasma.github.io/Logging_1491/kartor/A 26380-2025 karta.png", "A 26380-2025")</f>
        <v/>
      </c>
      <c r="Y19">
        <f>HYPERLINK("https://klasma.github.io/Logging_1491/kartor_geotiff/A 26380-2025 georefererad karta.tif", "A 26380-2025")</f>
        <v/>
      </c>
      <c r="AA19">
        <f>HYPERLINK("https://klasma.github.io/Logging_1491/klagomål/A 26380-2025 FSC-klagomål.docx", "A 26380-2025")</f>
        <v/>
      </c>
      <c r="AB19">
        <f>HYPERLINK("https://klasma.github.io/Logging_1491/klagomålsmail/A 26380-2025 FSC-klagomål mail.docx", "A 26380-2025")</f>
        <v/>
      </c>
      <c r="AC19">
        <f>HYPERLINK("https://klasma.github.io/Logging_1491/tillsyn/A 26380-2025 tillsynsbegäran.docx", "A 26380-2025")</f>
        <v/>
      </c>
      <c r="AD19">
        <f>HYPERLINK("https://klasma.github.io/Logging_1491/tillsynsmail/A 26380-2025 tillsynsbegäran mail.docx", "A 26380-2025")</f>
        <v/>
      </c>
      <c r="AE19">
        <f>HYPERLINK("https://klasma.github.io/Logging_1491/fåglar/A 26380-2025 prioriterade fågelarter.docx", "A 26380-2025")</f>
        <v/>
      </c>
    </row>
    <row r="20" ht="15" customHeight="1">
      <c r="A20" t="inlineStr">
        <is>
          <t>A 26381-2025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45806</v>
      </c>
      <c r="E20" s="1" t="n">
        <v>46295</v>
      </c>
      <c r="F20" t="inlineStr">
        <is>
          <t>VÄSTRA GÖTALANDS LÄN</t>
        </is>
      </c>
      <c r="G20" t="inlineStr">
        <is>
          <t>ULRICEHAMN</t>
        </is>
      </c>
      <c r="I20" t="n">
        <v>0.5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Tjäder</t>
        </is>
      </c>
      <c r="W20">
        <f>HYPERLINK("https://klasma.github.io/Logging_1491/artfynd/A 26381-2025 artfynd.xlsx", "A 26381-2025")</f>
        <v/>
      </c>
      <c r="X20">
        <f>HYPERLINK("https://klasma.github.io/Logging_1491/kartor/A 26381-2025 karta.png", "A 26381-2025")</f>
        <v/>
      </c>
      <c r="Y20">
        <f>HYPERLINK("https://klasma.github.io/Logging_1491/kartor_geotiff/A 26381-2025 georefererad karta.tif", "A 26381-2025")</f>
        <v/>
      </c>
      <c r="AA20">
        <f>HYPERLINK("https://klasma.github.io/Logging_1491/klagomål/A 26381-2025 FSC-klagomål.docx", "A 26381-2025")</f>
        <v/>
      </c>
      <c r="AB20">
        <f>HYPERLINK("https://klasma.github.io/Logging_1491/klagomålsmail/A 26381-2025 FSC-klagomål mail.docx", "A 26381-2025")</f>
        <v/>
      </c>
      <c r="AC20">
        <f>HYPERLINK("https://klasma.github.io/Logging_1491/tillsyn/A 26381-2025 tillsynsbegäran.docx", "A 26381-2025")</f>
        <v/>
      </c>
      <c r="AD20">
        <f>HYPERLINK("https://klasma.github.io/Logging_1491/tillsynsmail/A 26381-2025 tillsynsbegäran mail.docx", "A 26381-2025")</f>
        <v/>
      </c>
      <c r="AE20">
        <f>HYPERLINK("https://klasma.github.io/Logging_1491/fåglar/A 26381-2025 prioriterade fågelarter.docx", "A 26381-2025")</f>
        <v/>
      </c>
    </row>
    <row r="21" ht="15" customHeight="1">
      <c r="A21" t="inlineStr">
        <is>
          <t>A 61199-2023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45264</v>
      </c>
      <c r="E21" s="1" t="n">
        <v>46295</v>
      </c>
      <c r="F21" t="inlineStr">
        <is>
          <t>VÄSTRA GÖTALANDS LÄN</t>
        </is>
      </c>
      <c r="G21" t="inlineStr">
        <is>
          <t>ULRICEHAMN</t>
        </is>
      </c>
      <c r="I21" t="n">
        <v>2.6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8</v>
      </c>
      <c r="U21" t="n">
        <v>0</v>
      </c>
      <c r="V21" s="2" t="inlineStr">
        <is>
          <t>Ask</t>
        </is>
      </c>
      <c r="W21">
        <f>HYPERLINK("https://klasma.github.io/Logging_1491/artfynd/A 61199-2023 artfynd.xlsx", "A 61199-2023")</f>
        <v/>
      </c>
      <c r="X21">
        <f>HYPERLINK("https://klasma.github.io/Logging_1491/kartor/A 61199-2023 karta.png", "A 61199-2023")</f>
        <v/>
      </c>
      <c r="Y21">
        <f>HYPERLINK("https://klasma.github.io/Logging_1491/kartor_geotiff/A 61199-2023 georefererad karta.tif", "A 61199-2023")</f>
        <v/>
      </c>
      <c r="AA21">
        <f>HYPERLINK("https://klasma.github.io/Logging_1491/klagomål/A 61199-2023 FSC-klagomål.docx", "A 61199-2023")</f>
        <v/>
      </c>
      <c r="AB21">
        <f>HYPERLINK("https://klasma.github.io/Logging_1491/klagomålsmail/A 61199-2023 FSC-klagomål mail.docx", "A 61199-2023")</f>
        <v/>
      </c>
      <c r="AC21">
        <f>HYPERLINK("https://klasma.github.io/Logging_1491/tillsyn/A 61199-2023 tillsynsbegäran.docx", "A 61199-2023")</f>
        <v/>
      </c>
      <c r="AD21">
        <f>HYPERLINK("https://klasma.github.io/Logging_1491/tillsynsmail/A 61199-2023 tillsynsbegäran mail.docx", "A 61199-2023")</f>
        <v/>
      </c>
    </row>
    <row r="22" ht="15" customHeight="1">
      <c r="A22" t="inlineStr">
        <is>
          <t>A 37238-2025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45876</v>
      </c>
      <c r="E22" s="1" t="n">
        <v>46295</v>
      </c>
      <c r="F22" t="inlineStr">
        <is>
          <t>VÄSTRA GÖTALANDS LÄN</t>
        </is>
      </c>
      <c r="G22" t="inlineStr">
        <is>
          <t>ULRICEHAMN</t>
        </is>
      </c>
      <c r="I22" t="n">
        <v>7.6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Hasselmus</t>
        </is>
      </c>
      <c r="W22">
        <f>HYPERLINK("https://klasma.github.io/Logging_1491/artfynd/A 37238-2025 artfynd.xlsx", "A 37238-2025")</f>
        <v/>
      </c>
      <c r="X22">
        <f>HYPERLINK("https://klasma.github.io/Logging_1491/kartor/A 37238-2025 karta.png", "A 37238-2025")</f>
        <v/>
      </c>
      <c r="Y22">
        <f>HYPERLINK("https://klasma.github.io/Logging_1491/kartor_geotiff/A 37238-2025 georefererad karta.tif", "A 37238-2025")</f>
        <v/>
      </c>
      <c r="AA22">
        <f>HYPERLINK("https://klasma.github.io/Logging_1491/klagomål/A 37238-2025 FSC-klagomål.docx", "A 37238-2025")</f>
        <v/>
      </c>
      <c r="AB22">
        <f>HYPERLINK("https://klasma.github.io/Logging_1491/klagomålsmail/A 37238-2025 FSC-klagomål mail.docx", "A 37238-2025")</f>
        <v/>
      </c>
      <c r="AC22">
        <f>HYPERLINK("https://klasma.github.io/Logging_1491/tillsyn/A 37238-2025 tillsynsbegäran.docx", "A 37238-2025")</f>
        <v/>
      </c>
      <c r="AD22">
        <f>HYPERLINK("https://klasma.github.io/Logging_1491/tillsynsmail/A 37238-2025 tillsynsbegäran mail.docx", "A 37238-2025")</f>
        <v/>
      </c>
    </row>
    <row r="23" ht="15" customHeight="1">
      <c r="A23" t="inlineStr">
        <is>
          <t>A 6804-2026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46055</v>
      </c>
      <c r="E23" s="1" t="n">
        <v>46295</v>
      </c>
      <c r="F23" t="inlineStr">
        <is>
          <t>VÄSTRA GÖTALANDS LÄN</t>
        </is>
      </c>
      <c r="G23" t="inlineStr">
        <is>
          <t>ULRICEHAMN</t>
        </is>
      </c>
      <c r="I23" t="n">
        <v>8.9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Ask</t>
        </is>
      </c>
      <c r="W23">
        <f>HYPERLINK("https://klasma.github.io/Logging_1491/artfynd/A 6804-2026 artfynd.xlsx", "A 6804-2026")</f>
        <v/>
      </c>
      <c r="X23">
        <f>HYPERLINK("https://klasma.github.io/Logging_1491/kartor/A 6804-2026 karta.png", "A 6804-2026")</f>
        <v/>
      </c>
      <c r="Y23">
        <f>HYPERLINK("https://klasma.github.io/Logging_1491/kartor_geotiff/A 6804-2026 georefererad karta.tif", "A 6804-2026")</f>
        <v/>
      </c>
      <c r="AA23">
        <f>HYPERLINK("https://klasma.github.io/Logging_1491/klagomål/A 6804-2026 FSC-klagomål.docx", "A 6804-2026")</f>
        <v/>
      </c>
      <c r="AB23">
        <f>HYPERLINK("https://klasma.github.io/Logging_1491/klagomålsmail/A 6804-2026 FSC-klagomål mail.docx", "A 6804-2026")</f>
        <v/>
      </c>
      <c r="AC23">
        <f>HYPERLINK("https://klasma.github.io/Logging_1491/tillsyn/A 6804-2026 tillsynsbegäran.docx", "A 6804-2026")</f>
        <v/>
      </c>
      <c r="AD23">
        <f>HYPERLINK("https://klasma.github.io/Logging_1491/tillsynsmail/A 6804-2026 tillsynsbegäran mail.docx", "A 6804-2026")</f>
        <v/>
      </c>
    </row>
    <row r="24" ht="15" customHeight="1">
      <c r="A24" t="inlineStr">
        <is>
          <t>A 51137-2024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45603</v>
      </c>
      <c r="E24" s="1" t="n">
        <v>46295</v>
      </c>
      <c r="F24" t="inlineStr">
        <is>
          <t>VÄSTRA GÖTALANDS LÄN</t>
        </is>
      </c>
      <c r="G24" t="inlineStr">
        <is>
          <t>ULRICEHAMN</t>
        </is>
      </c>
      <c r="I24" t="n">
        <v>2.8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2</v>
      </c>
      <c r="U24" t="n">
        <v>0</v>
      </c>
      <c r="V24" s="2" t="inlineStr">
        <is>
          <t>Fällmossa</t>
        </is>
      </c>
      <c r="W24">
        <f>HYPERLINK("https://klasma.github.io/Logging_1491/artfynd/A 51137-2024 artfynd.xlsx", "A 51137-2024")</f>
        <v/>
      </c>
      <c r="X24">
        <f>HYPERLINK("https://klasma.github.io/Logging_1491/kartor/A 51137-2024 karta.png", "A 51137-2024")</f>
        <v/>
      </c>
      <c r="Y24">
        <f>HYPERLINK("https://klasma.github.io/Logging_1491/kartor_geotiff/A 51137-2024 georefererad karta.tif", "A 51137-2024")</f>
        <v/>
      </c>
      <c r="AA24">
        <f>HYPERLINK("https://klasma.github.io/Logging_1491/klagomål/A 51137-2024 FSC-klagomål.docx", "A 51137-2024")</f>
        <v/>
      </c>
      <c r="AB24">
        <f>HYPERLINK("https://klasma.github.io/Logging_1491/klagomålsmail/A 51137-2024 FSC-klagomål mail.docx", "A 51137-2024")</f>
        <v/>
      </c>
      <c r="AC24">
        <f>HYPERLINK("https://klasma.github.io/Logging_1491/tillsyn/A 51137-2024 tillsynsbegäran.docx", "A 51137-2024")</f>
        <v/>
      </c>
      <c r="AD24">
        <f>HYPERLINK("https://klasma.github.io/Logging_1491/tillsynsmail/A 51137-2024 tillsynsbegäran mail.docx", "A 51137-2024")</f>
        <v/>
      </c>
    </row>
    <row r="25" ht="15" customHeight="1">
      <c r="A25" t="inlineStr">
        <is>
          <t>A 61199-2023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45264</v>
      </c>
      <c r="E25" s="1" t="n">
        <v>46295</v>
      </c>
      <c r="F25" t="inlineStr">
        <is>
          <t>VÄSTRA GÖTALANDS LÄN</t>
        </is>
      </c>
      <c r="G25" t="inlineStr">
        <is>
          <t>ULRICEHAMN</t>
        </is>
      </c>
      <c r="I25" t="n">
        <v>2.6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8</v>
      </c>
      <c r="U25" t="n">
        <v>0</v>
      </c>
      <c r="V25" s="2" t="inlineStr">
        <is>
          <t>Ask</t>
        </is>
      </c>
      <c r="W25">
        <f>HYPERLINK("https://klasma.github.io/Logging_1491/artfynd/A 61199-2023 artfynd.xlsx", "A 61199-2023")</f>
        <v/>
      </c>
      <c r="X25">
        <f>HYPERLINK("https://klasma.github.io/Logging_1491/kartor/A 61199-2023 karta.png", "A 61199-2023")</f>
        <v/>
      </c>
      <c r="Y25">
        <f>HYPERLINK("https://klasma.github.io/Logging_1491/kartor_geotiff/A 61199-2023 georefererad karta.tif", "A 61199-2023")</f>
        <v/>
      </c>
      <c r="AA25">
        <f>HYPERLINK("https://klasma.github.io/Logging_1491/klagomål/A 61199-2023 FSC-klagomål.docx", "A 61199-2023")</f>
        <v/>
      </c>
      <c r="AB25">
        <f>HYPERLINK("https://klasma.github.io/Logging_1491/klagomålsmail/A 61199-2023 FSC-klagomål mail.docx", "A 61199-2023")</f>
        <v/>
      </c>
      <c r="AC25">
        <f>HYPERLINK("https://klasma.github.io/Logging_1491/tillsyn/A 61199-2023 tillsynsbegäran.docx", "A 61199-2023")</f>
        <v/>
      </c>
      <c r="AD25">
        <f>HYPERLINK("https://klasma.github.io/Logging_1491/tillsynsmail/A 61199-2023 tillsynsbegäran mail.docx", "A 61199-2023")</f>
        <v/>
      </c>
    </row>
    <row r="26" ht="15" customHeight="1">
      <c r="A26" t="inlineStr">
        <is>
          <t>A 7347-2023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44971</v>
      </c>
      <c r="E26" s="1" t="n">
        <v>46295</v>
      </c>
      <c r="F26" t="inlineStr">
        <is>
          <t>VÄSTRA GÖTALANDS LÄN</t>
        </is>
      </c>
      <c r="G26" t="inlineStr">
        <is>
          <t>ULRICEHAMN</t>
        </is>
      </c>
      <c r="I26" t="n">
        <v>0.6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Granspira</t>
        </is>
      </c>
      <c r="W26">
        <f>HYPERLINK("https://klasma.github.io/Logging_1491/artfynd/A 7347-2023 artfynd.xlsx", "A 7347-2023")</f>
        <v/>
      </c>
      <c r="X26">
        <f>HYPERLINK("https://klasma.github.io/Logging_1491/kartor/A 7347-2023 karta.png", "A 7347-2023")</f>
        <v/>
      </c>
      <c r="Y26">
        <f>HYPERLINK("https://klasma.github.io/Logging_1491/kartor_geotiff/A 7347-2023 georefererad karta.tif", "A 7347-2023")</f>
        <v/>
      </c>
      <c r="AA26">
        <f>HYPERLINK("https://klasma.github.io/Logging_1491/klagomål/A 7347-2023 FSC-klagomål.docx", "A 7347-2023")</f>
        <v/>
      </c>
      <c r="AB26">
        <f>HYPERLINK("https://klasma.github.io/Logging_1491/klagomålsmail/A 7347-2023 FSC-klagomål mail.docx", "A 7347-2023")</f>
        <v/>
      </c>
      <c r="AC26">
        <f>HYPERLINK("https://klasma.github.io/Logging_1491/tillsyn/A 7347-2023 tillsynsbegäran.docx", "A 7347-2023")</f>
        <v/>
      </c>
      <c r="AD26">
        <f>HYPERLINK("https://klasma.github.io/Logging_1491/tillsynsmail/A 7347-2023 tillsynsbegäran mail.docx", "A 7347-2023")</f>
        <v/>
      </c>
    </row>
    <row r="27" ht="15" customHeight="1">
      <c r="A27" t="inlineStr">
        <is>
          <t>A 13082-2024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45385</v>
      </c>
      <c r="E27" s="1" t="n">
        <v>46295</v>
      </c>
      <c r="F27" t="inlineStr">
        <is>
          <t>VÄSTRA GÖTALANDS LÄN</t>
        </is>
      </c>
      <c r="G27" t="inlineStr">
        <is>
          <t>ULRICEHAMN</t>
        </is>
      </c>
      <c r="I27" t="n">
        <v>1.1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Rödbrun blekspik</t>
        </is>
      </c>
      <c r="W27">
        <f>HYPERLINK("https://klasma.github.io/Logging_1491/artfynd/A 13082-2024 artfynd.xlsx", "A 13082-2024")</f>
        <v/>
      </c>
      <c r="X27">
        <f>HYPERLINK("https://klasma.github.io/Logging_1491/kartor/A 13082-2024 karta.png", "A 13082-2024")</f>
        <v/>
      </c>
      <c r="Y27">
        <f>HYPERLINK("https://klasma.github.io/Logging_1491/kartor_geotiff/A 13082-2024 georefererad karta.tif", "A 13082-2024")</f>
        <v/>
      </c>
      <c r="AA27">
        <f>HYPERLINK("https://klasma.github.io/Logging_1491/klagomål/A 13082-2024 FSC-klagomål.docx", "A 13082-2024")</f>
        <v/>
      </c>
      <c r="AB27">
        <f>HYPERLINK("https://klasma.github.io/Logging_1491/klagomålsmail/A 13082-2024 FSC-klagomål mail.docx", "A 13082-2024")</f>
        <v/>
      </c>
      <c r="AC27">
        <f>HYPERLINK("https://klasma.github.io/Logging_1491/tillsyn/A 13082-2024 tillsynsbegäran.docx", "A 13082-2024")</f>
        <v/>
      </c>
      <c r="AD27">
        <f>HYPERLINK("https://klasma.github.io/Logging_1491/tillsynsmail/A 13082-2024 tillsynsbegäran mail.docx", "A 13082-2024")</f>
        <v/>
      </c>
    </row>
    <row r="28" ht="15" customHeight="1">
      <c r="A28" t="inlineStr">
        <is>
          <t>A 25078-2023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45086</v>
      </c>
      <c r="E28" s="1" t="n">
        <v>46295</v>
      </c>
      <c r="F28" t="inlineStr">
        <is>
          <t>VÄSTRA GÖTALANDS LÄN</t>
        </is>
      </c>
      <c r="G28" t="inlineStr">
        <is>
          <t>ULRICEHAMN</t>
        </is>
      </c>
      <c r="I28" t="n">
        <v>3.6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HYPERLINK("https://klasma.github.io/Logging_1491/artfynd/A 25078-2023 artfynd.xlsx", "A 25078-2023")</f>
        <v/>
      </c>
      <c r="X28">
        <f>HYPERLINK("https://klasma.github.io/Logging_1491/kartor/A 25078-2023 karta.png", "A 25078-2023")</f>
        <v/>
      </c>
      <c r="Y28">
        <f>HYPERLINK("https://klasma.github.io/Logging_1491/kartor_geotiff/A 25078-2023 georefererad karta.tif", "A 25078-2023")</f>
        <v/>
      </c>
      <c r="AA28">
        <f>HYPERLINK("https://klasma.github.io/Logging_1491/klagomål/A 25078-2023 FSC-klagomål.docx", "A 25078-2023")</f>
        <v/>
      </c>
      <c r="AB28">
        <f>HYPERLINK("https://klasma.github.io/Logging_1491/klagomålsmail/A 25078-2023 FSC-klagomål mail.docx", "A 25078-2023")</f>
        <v/>
      </c>
      <c r="AC28">
        <f>HYPERLINK("https://klasma.github.io/Logging_1491/tillsyn/A 25078-2023 tillsynsbegäran.docx", "A 25078-2023")</f>
        <v/>
      </c>
      <c r="AD28">
        <f>HYPERLINK("https://klasma.github.io/Logging_1491/tillsynsmail/A 25078-2023 tillsynsbegäran mail.docx", "A 25078-2023")</f>
        <v/>
      </c>
    </row>
    <row r="29" ht="15" customHeight="1">
      <c r="A29" t="inlineStr">
        <is>
          <t>A 9906-2026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46073</v>
      </c>
      <c r="E29" s="1" t="n">
        <v>46295</v>
      </c>
      <c r="F29" t="inlineStr">
        <is>
          <t>VÄSTRA GÖTALANDS LÄN</t>
        </is>
      </c>
      <c r="G29" t="inlineStr">
        <is>
          <t>ULRICEHAMN</t>
        </is>
      </c>
      <c r="I29" t="n">
        <v>1.5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HYPERLINK("https://klasma.github.io/Logging_1491/artfynd/A 9906-2026 artfynd.xlsx", "A 9906-2026")</f>
        <v/>
      </c>
      <c r="X29">
        <f>HYPERLINK("https://klasma.github.io/Logging_1491/kartor/A 9906-2026 karta.png", "A 9906-2026")</f>
        <v/>
      </c>
      <c r="Y29">
        <f>HYPERLINK("https://klasma.github.io/Logging_1491/kartor_geotiff/A 9906-2026 georefererad karta.tif", "A 9906-2026")</f>
        <v/>
      </c>
      <c r="AA29">
        <f>HYPERLINK("https://klasma.github.io/Logging_1491/klagomål/A 9906-2026 FSC-klagomål.docx", "A 9906-2026")</f>
        <v/>
      </c>
      <c r="AB29">
        <f>HYPERLINK("https://klasma.github.io/Logging_1491/klagomålsmail/A 9906-2026 FSC-klagomål mail.docx", "A 9906-2026")</f>
        <v/>
      </c>
      <c r="AC29">
        <f>HYPERLINK("https://klasma.github.io/Logging_1491/tillsyn/A 9906-2026 tillsynsbegäran.docx", "A 9906-2026")</f>
        <v/>
      </c>
      <c r="AD29">
        <f>HYPERLINK("https://klasma.github.io/Logging_1491/tillsynsmail/A 9906-2026 tillsynsbegäran mail.docx", "A 9906-2026")</f>
        <v/>
      </c>
      <c r="AE29">
        <f>HYPERLINK("https://klasma.github.io/Logging_1491/fåglar/A 9906-2026 prioriterade fågelarter.docx", "A 9906-2026")</f>
        <v/>
      </c>
    </row>
    <row r="30" ht="15" customHeight="1">
      <c r="A30" t="inlineStr">
        <is>
          <t>A 61536-2025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46001</v>
      </c>
      <c r="E30" s="1" t="n">
        <v>46295</v>
      </c>
      <c r="F30" t="inlineStr">
        <is>
          <t>VÄSTRA GÖTALANDS LÄN</t>
        </is>
      </c>
      <c r="G30" t="inlineStr">
        <is>
          <t>ULRICEHAMN</t>
        </is>
      </c>
      <c r="I30" t="n">
        <v>6.1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Slåttergubbe</t>
        </is>
      </c>
      <c r="W30">
        <f>HYPERLINK("https://klasma.github.io/Logging_1491/artfynd/A 61536-2025 artfynd.xlsx", "A 61536-2025")</f>
        <v/>
      </c>
      <c r="X30">
        <f>HYPERLINK("https://klasma.github.io/Logging_1491/kartor/A 61536-2025 karta.png", "A 61536-2025")</f>
        <v/>
      </c>
      <c r="Y30">
        <f>HYPERLINK("https://klasma.github.io/Logging_1491/kartor_geotiff/A 61536-2025 georefererad karta.tif", "A 61536-2025")</f>
        <v/>
      </c>
      <c r="AA30">
        <f>HYPERLINK("https://klasma.github.io/Logging_1491/klagomål/A 61536-2025 FSC-klagomål.docx", "A 61536-2025")</f>
        <v/>
      </c>
      <c r="AB30">
        <f>HYPERLINK("https://klasma.github.io/Logging_1491/klagomålsmail/A 61536-2025 FSC-klagomål mail.docx", "A 61536-2025")</f>
        <v/>
      </c>
      <c r="AC30">
        <f>HYPERLINK("https://klasma.github.io/Logging_1491/tillsyn/A 61536-2025 tillsynsbegäran.docx", "A 61536-2025")</f>
        <v/>
      </c>
      <c r="AD30">
        <f>HYPERLINK("https://klasma.github.io/Logging_1491/tillsynsmail/A 61536-2025 tillsynsbegäran mail.docx", "A 61536-2025")</f>
        <v/>
      </c>
    </row>
    <row r="31" ht="15" customHeight="1">
      <c r="A31" t="inlineStr">
        <is>
          <t>A 13789-2026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46097</v>
      </c>
      <c r="E31" s="1" t="n">
        <v>46295</v>
      </c>
      <c r="F31" t="inlineStr">
        <is>
          <t>VÄSTRA GÖTALANDS LÄN</t>
        </is>
      </c>
      <c r="G31" t="inlineStr">
        <is>
          <t>ULRICEHAMN</t>
        </is>
      </c>
      <c r="H31" t="inlineStr">
        <is>
          <t>Sveaskog</t>
        </is>
      </c>
      <c r="I31" t="n">
        <v>4.4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Revlummer</t>
        </is>
      </c>
      <c r="W31">
        <f>HYPERLINK("https://klasma.github.io/Logging_1491/artfynd/A 13789-2026 artfynd.xlsx", "A 13789-2026")</f>
        <v/>
      </c>
      <c r="X31">
        <f>HYPERLINK("https://klasma.github.io/Logging_1491/kartor/A 13789-2026 karta.png", "A 13789-2026")</f>
        <v/>
      </c>
      <c r="Y31">
        <f>HYPERLINK("https://klasma.github.io/Logging_1491/kartor_geotiff/A 13789-2026 georefererad karta.tif", "A 13789-2026")</f>
        <v/>
      </c>
      <c r="AA31">
        <f>HYPERLINK("https://klasma.github.io/Logging_1491/klagomål/A 13789-2026 FSC-klagomål.docx", "A 13789-2026")</f>
        <v/>
      </c>
      <c r="AB31">
        <f>HYPERLINK("https://klasma.github.io/Logging_1491/klagomålsmail/A 13789-2026 FSC-klagomål mail.docx", "A 13789-2026")</f>
        <v/>
      </c>
      <c r="AC31">
        <f>HYPERLINK("https://klasma.github.io/Logging_1491/tillsyn/A 13789-2026 tillsynsbegäran.docx", "A 13789-2026")</f>
        <v/>
      </c>
      <c r="AD31">
        <f>HYPERLINK("https://klasma.github.io/Logging_1491/tillsynsmail/A 13789-2026 tillsynsbegäran mail.docx", "A 13789-2026")</f>
        <v/>
      </c>
    </row>
    <row r="32" ht="15" customHeight="1">
      <c r="A32" t="inlineStr">
        <is>
          <t>A 531-2024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45299</v>
      </c>
      <c r="E32" s="1" t="n">
        <v>46295</v>
      </c>
      <c r="F32" t="inlineStr">
        <is>
          <t>VÄSTRA GÖTALANDS LÄN</t>
        </is>
      </c>
      <c r="G32" t="inlineStr">
        <is>
          <t>ULRICEHAMN</t>
        </is>
      </c>
      <c r="I32" t="n">
        <v>0.8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Hasselmus</t>
        </is>
      </c>
      <c r="W32">
        <f>HYPERLINK("https://klasma.github.io/Logging_1491/artfynd/A 531-2024 artfynd.xlsx", "A 531-2024")</f>
        <v/>
      </c>
      <c r="X32">
        <f>HYPERLINK("https://klasma.github.io/Logging_1491/kartor/A 531-2024 karta.png", "A 531-2024")</f>
        <v/>
      </c>
      <c r="Y32">
        <f>HYPERLINK("https://klasma.github.io/Logging_1491/kartor_geotiff/A 531-2024 georefererad karta.tif", "A 531-2024")</f>
        <v/>
      </c>
      <c r="AA32">
        <f>HYPERLINK("https://klasma.github.io/Logging_1491/klagomål/A 531-2024 FSC-klagomål.docx", "A 531-2024")</f>
        <v/>
      </c>
      <c r="AB32">
        <f>HYPERLINK("https://klasma.github.io/Logging_1491/klagomålsmail/A 531-2024 FSC-klagomål mail.docx", "A 531-2024")</f>
        <v/>
      </c>
      <c r="AC32">
        <f>HYPERLINK("https://klasma.github.io/Logging_1491/tillsyn/A 531-2024 tillsynsbegäran.docx", "A 531-2024")</f>
        <v/>
      </c>
      <c r="AD32">
        <f>HYPERLINK("https://klasma.github.io/Logging_1491/tillsynsmail/A 531-2024 tillsynsbegäran mail.docx", "A 531-2024")</f>
        <v/>
      </c>
    </row>
    <row r="33" ht="15" customHeight="1">
      <c r="A33" t="inlineStr">
        <is>
          <t>A 16158-2026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46109</v>
      </c>
      <c r="E33" s="1" t="n">
        <v>46295</v>
      </c>
      <c r="F33" t="inlineStr">
        <is>
          <t>VÄSTRA GÖTALANDS LÄN</t>
        </is>
      </c>
      <c r="G33" t="inlineStr">
        <is>
          <t>ULRICEHAMN</t>
        </is>
      </c>
      <c r="I33" t="n">
        <v>4.6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Hässleklocka</t>
        </is>
      </c>
      <c r="W33">
        <f>HYPERLINK("https://klasma.github.io/Logging_1491/artfynd/A 16158-2026 artfynd.xlsx", "A 16158-2026")</f>
        <v/>
      </c>
      <c r="X33">
        <f>HYPERLINK("https://klasma.github.io/Logging_1491/kartor/A 16158-2026 karta.png", "A 16158-2026")</f>
        <v/>
      </c>
      <c r="Y33">
        <f>HYPERLINK("https://klasma.github.io/Logging_1491/kartor_geotiff/A 16158-2026 georefererad karta.tif", "A 16158-2026")</f>
        <v/>
      </c>
      <c r="AA33">
        <f>HYPERLINK("https://klasma.github.io/Logging_1491/klagomål/A 16158-2026 FSC-klagomål.docx", "A 16158-2026")</f>
        <v/>
      </c>
      <c r="AB33">
        <f>HYPERLINK("https://klasma.github.io/Logging_1491/klagomålsmail/A 16158-2026 FSC-klagomål mail.docx", "A 16158-2026")</f>
        <v/>
      </c>
      <c r="AC33">
        <f>HYPERLINK("https://klasma.github.io/Logging_1491/tillsyn/A 16158-2026 tillsynsbegäran.docx", "A 16158-2026")</f>
        <v/>
      </c>
      <c r="AD33">
        <f>HYPERLINK("https://klasma.github.io/Logging_1491/tillsynsmail/A 16158-2026 tillsynsbegäran mail.docx", "A 16158-2026")</f>
        <v/>
      </c>
    </row>
    <row r="34" ht="15" customHeight="1">
      <c r="A34" t="inlineStr">
        <is>
          <t>A 73932-2021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44553</v>
      </c>
      <c r="E34" s="1" t="n">
        <v>46295</v>
      </c>
      <c r="F34" t="inlineStr">
        <is>
          <t>VÄSTRA GÖTALANDS LÄN</t>
        </is>
      </c>
      <c r="G34" t="inlineStr">
        <is>
          <t>ULRICEHAMN</t>
        </is>
      </c>
      <c r="I34" t="n">
        <v>0.7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Backsippa</t>
        </is>
      </c>
      <c r="W34">
        <f>HYPERLINK("https://klasma.github.io/Logging_1491/artfynd/A 73932-2021 artfynd.xlsx", "A 73932-2021")</f>
        <v/>
      </c>
      <c r="X34">
        <f>HYPERLINK("https://klasma.github.io/Logging_1491/kartor/A 73932-2021 karta.png", "A 73932-2021")</f>
        <v/>
      </c>
      <c r="Y34">
        <f>HYPERLINK("https://klasma.github.io/Logging_1491/kartor_geotiff/A 73932-2021 georefererad karta.tif", "A 73932-2021")</f>
        <v/>
      </c>
      <c r="AA34">
        <f>HYPERLINK("https://klasma.github.io/Logging_1491/klagomål/A 73932-2021 FSC-klagomål.docx", "A 73932-2021")</f>
        <v/>
      </c>
      <c r="AB34">
        <f>HYPERLINK("https://klasma.github.io/Logging_1491/klagomålsmail/A 73932-2021 FSC-klagomål mail.docx", "A 73932-2021")</f>
        <v/>
      </c>
      <c r="AC34">
        <f>HYPERLINK("https://klasma.github.io/Logging_1491/tillsyn/A 73932-2021 tillsynsbegäran.docx", "A 73932-2021")</f>
        <v/>
      </c>
      <c r="AD34">
        <f>HYPERLINK("https://klasma.github.io/Logging_1491/tillsynsmail/A 73932-2021 tillsynsbegäran mail.docx", "A 73932-2021")</f>
        <v/>
      </c>
    </row>
    <row r="35" ht="15" customHeight="1">
      <c r="A35" t="inlineStr">
        <is>
          <t>A 8055-2024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45351</v>
      </c>
      <c r="E35" s="1" t="n">
        <v>46295</v>
      </c>
      <c r="F35" t="inlineStr">
        <is>
          <t>VÄSTRA GÖTALANDS LÄN</t>
        </is>
      </c>
      <c r="G35" t="inlineStr">
        <is>
          <t>ULRICEHAMN</t>
        </is>
      </c>
      <c r="I35" t="n">
        <v>2.9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Hasselmus</t>
        </is>
      </c>
      <c r="W35">
        <f>HYPERLINK("https://klasma.github.io/Logging_1491/artfynd/A 8055-2024 artfynd.xlsx", "A 8055-2024")</f>
        <v/>
      </c>
      <c r="X35">
        <f>HYPERLINK("https://klasma.github.io/Logging_1491/kartor/A 8055-2024 karta.png", "A 8055-2024")</f>
        <v/>
      </c>
      <c r="Y35">
        <f>HYPERLINK("https://klasma.github.io/Logging_1491/kartor_geotiff/A 8055-2024 georefererad karta.tif", "A 8055-2024")</f>
        <v/>
      </c>
      <c r="AA35">
        <f>HYPERLINK("https://klasma.github.io/Logging_1491/klagomål/A 8055-2024 FSC-klagomål.docx", "A 8055-2024")</f>
        <v/>
      </c>
      <c r="AB35">
        <f>HYPERLINK("https://klasma.github.io/Logging_1491/klagomålsmail/A 8055-2024 FSC-klagomål mail.docx", "A 8055-2024")</f>
        <v/>
      </c>
      <c r="AC35">
        <f>HYPERLINK("https://klasma.github.io/Logging_1491/tillsyn/A 8055-2024 tillsynsbegäran.docx", "A 8055-2024")</f>
        <v/>
      </c>
      <c r="AD35">
        <f>HYPERLINK("https://klasma.github.io/Logging_1491/tillsynsmail/A 8055-2024 tillsynsbegäran mail.docx", "A 8055-2024")</f>
        <v/>
      </c>
    </row>
    <row r="36" ht="15" customHeight="1">
      <c r="A36" t="inlineStr">
        <is>
          <t>A 54903-2023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45236</v>
      </c>
      <c r="E36" s="1" t="n">
        <v>46295</v>
      </c>
      <c r="F36" t="inlineStr">
        <is>
          <t>VÄSTRA GÖTALANDS LÄN</t>
        </is>
      </c>
      <c r="G36" t="inlineStr">
        <is>
          <t>ULRICEHAMN</t>
        </is>
      </c>
      <c r="I36" t="n">
        <v>6.4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Trubbdaggkåpa</t>
        </is>
      </c>
      <c r="W36">
        <f>HYPERLINK("https://klasma.github.io/Logging_1491/artfynd/A 54903-2023 artfynd.xlsx", "A 54903-2023")</f>
        <v/>
      </c>
      <c r="X36">
        <f>HYPERLINK("https://klasma.github.io/Logging_1491/kartor/A 54903-2023 karta.png", "A 54903-2023")</f>
        <v/>
      </c>
      <c r="Y36">
        <f>HYPERLINK("https://klasma.github.io/Logging_1491/kartor_geotiff/A 54903-2023 georefererad karta.tif", "A 54903-2023")</f>
        <v/>
      </c>
      <c r="AA36">
        <f>HYPERLINK("https://klasma.github.io/Logging_1491/klagomål/A 54903-2023 FSC-klagomål.docx", "A 54903-2023")</f>
        <v/>
      </c>
      <c r="AB36">
        <f>HYPERLINK("https://klasma.github.io/Logging_1491/klagomålsmail/A 54903-2023 FSC-klagomål mail.docx", "A 54903-2023")</f>
        <v/>
      </c>
      <c r="AC36">
        <f>HYPERLINK("https://klasma.github.io/Logging_1491/tillsyn/A 54903-2023 tillsynsbegäran.docx", "A 54903-2023")</f>
        <v/>
      </c>
      <c r="AD36">
        <f>HYPERLINK("https://klasma.github.io/Logging_1491/tillsynsmail/A 54903-2023 tillsynsbegäran mail.docx", "A 54903-2023")</f>
        <v/>
      </c>
    </row>
    <row r="37" ht="15" customHeight="1">
      <c r="A37" t="inlineStr">
        <is>
          <t>A 51158-2024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45603</v>
      </c>
      <c r="E37" s="1" t="n">
        <v>46295</v>
      </c>
      <c r="F37" t="inlineStr">
        <is>
          <t>VÄSTRA GÖTALANDS LÄN</t>
        </is>
      </c>
      <c r="G37" t="inlineStr">
        <is>
          <t>ULRICEHAMN</t>
        </is>
      </c>
      <c r="H37" t="inlineStr">
        <is>
          <t>Kommuner</t>
        </is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Skogsödla</t>
        </is>
      </c>
      <c r="W37">
        <f>HYPERLINK("https://klasma.github.io/Logging_1491/artfynd/A 51158-2024 artfynd.xlsx", "A 51158-2024")</f>
        <v/>
      </c>
      <c r="X37">
        <f>HYPERLINK("https://klasma.github.io/Logging_1491/kartor/A 51158-2024 karta.png", "A 51158-2024")</f>
        <v/>
      </c>
      <c r="Y37">
        <f>HYPERLINK("https://klasma.github.io/Logging_1491/kartor_geotiff/A 51158-2024 georefererad karta.tif", "A 51158-2024")</f>
        <v/>
      </c>
      <c r="AA37">
        <f>HYPERLINK("https://klasma.github.io/Logging_1491/klagomål/A 51158-2024 FSC-klagomål.docx", "A 51158-2024")</f>
        <v/>
      </c>
      <c r="AB37">
        <f>HYPERLINK("https://klasma.github.io/Logging_1491/klagomålsmail/A 51158-2024 FSC-klagomål mail.docx", "A 51158-2024")</f>
        <v/>
      </c>
      <c r="AC37">
        <f>HYPERLINK("https://klasma.github.io/Logging_1491/tillsyn/A 51158-2024 tillsynsbegäran.docx", "A 51158-2024")</f>
        <v/>
      </c>
      <c r="AD37">
        <f>HYPERLINK("https://klasma.github.io/Logging_1491/tillsynsmail/A 51158-2024 tillsynsbegäran mail.docx", "A 51158-2024")</f>
        <v/>
      </c>
    </row>
    <row r="38" ht="15" customHeight="1">
      <c r="A38" t="inlineStr">
        <is>
          <t>A 33885-2023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45134</v>
      </c>
      <c r="E38" s="1" t="n">
        <v>46295</v>
      </c>
      <c r="F38" t="inlineStr">
        <is>
          <t>VÄSTRA GÖTALANDS LÄN</t>
        </is>
      </c>
      <c r="G38" t="inlineStr">
        <is>
          <t>ULRICEHAMN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Gulvaxing</t>
        </is>
      </c>
      <c r="W38">
        <f>HYPERLINK("https://klasma.github.io/Logging_1491/artfynd/A 33885-2023 artfynd.xlsx", "A 33885-2023")</f>
        <v/>
      </c>
      <c r="X38">
        <f>HYPERLINK("https://klasma.github.io/Logging_1491/kartor/A 33885-2023 karta.png", "A 33885-2023")</f>
        <v/>
      </c>
      <c r="Y38">
        <f>HYPERLINK("https://klasma.github.io/Logging_1491/kartor_geotiff/A 33885-2023 georefererad karta.tif", "A 33885-2023")</f>
        <v/>
      </c>
      <c r="AA38">
        <f>HYPERLINK("https://klasma.github.io/Logging_1491/klagomål/A 33885-2023 FSC-klagomål.docx", "A 33885-2023")</f>
        <v/>
      </c>
      <c r="AB38">
        <f>HYPERLINK("https://klasma.github.io/Logging_1491/klagomålsmail/A 33885-2023 FSC-klagomål mail.docx", "A 33885-2023")</f>
        <v/>
      </c>
      <c r="AC38">
        <f>HYPERLINK("https://klasma.github.io/Logging_1491/tillsyn/A 33885-2023 tillsynsbegäran.docx", "A 33885-2023")</f>
        <v/>
      </c>
      <c r="AD38">
        <f>HYPERLINK("https://klasma.github.io/Logging_1491/tillsynsmail/A 33885-2023 tillsynsbegäran mail.docx", "A 33885-2023")</f>
        <v/>
      </c>
    </row>
    <row r="39" ht="15" customHeight="1">
      <c r="A39" t="inlineStr">
        <is>
          <t>A 2626-2025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45675</v>
      </c>
      <c r="E39" s="1" t="n">
        <v>46295</v>
      </c>
      <c r="F39" t="inlineStr">
        <is>
          <t>VÄSTRA GÖTALANDS LÄN</t>
        </is>
      </c>
      <c r="G39" t="inlineStr">
        <is>
          <t>ULRICEHAMN</t>
        </is>
      </c>
      <c r="I39" t="n">
        <v>2.7</v>
      </c>
      <c r="J39" t="n">
        <v>0</v>
      </c>
      <c r="K39" t="n">
        <v>0</v>
      </c>
      <c r="L39" t="n">
        <v>0</v>
      </c>
      <c r="M39" t="n">
        <v>0</v>
      </c>
      <c r="N39" t="n">
        <v>1</v>
      </c>
      <c r="O39" t="n">
        <v>0</v>
      </c>
      <c r="P39" t="n">
        <v>0</v>
      </c>
      <c r="Q39" t="n">
        <v>1</v>
      </c>
      <c r="R39" t="n">
        <v>1</v>
      </c>
      <c r="S39" t="n">
        <v>1</v>
      </c>
      <c r="T39" t="n">
        <v>1</v>
      </c>
      <c r="U39" t="n">
        <v>1</v>
      </c>
      <c r="V39" s="2" t="inlineStr">
        <is>
          <t>Flodpärlmussla</t>
        </is>
      </c>
      <c r="W39">
        <f>HYPERLINK("https://klasma.github.io/Logging_1491/artfynd/A 2626-2025 artfynd.xlsx", "A 2626-2025")</f>
        <v/>
      </c>
      <c r="X39">
        <f>HYPERLINK("https://klasma.github.io/Logging_1491/kartor/A 2626-2025 karta.png", "A 2626-2025")</f>
        <v/>
      </c>
      <c r="Y39">
        <f>HYPERLINK("https://klasma.github.io/Logging_1491/kartor_geotiff/A 2626-2025 georefererad karta.tif", "A 2626-2025")</f>
        <v/>
      </c>
      <c r="AA39">
        <f>HYPERLINK("https://klasma.github.io/Logging_1491/klagomål/A 2626-2025 FSC-klagomål.docx", "A 2626-2025")</f>
        <v/>
      </c>
      <c r="AB39">
        <f>HYPERLINK("https://klasma.github.io/Logging_1491/klagomålsmail/A 2626-2025 FSC-klagomål mail.docx", "A 2626-2025")</f>
        <v/>
      </c>
      <c r="AC39">
        <f>HYPERLINK("https://klasma.github.io/Logging_1491/tillsyn/A 2626-2025 tillsynsbegäran.docx", "A 2626-2025")</f>
        <v/>
      </c>
      <c r="AD39">
        <f>HYPERLINK("https://klasma.github.io/Logging_1491/tillsynsmail/A 2626-2025 tillsynsbegäran mail.docx", "A 2626-2025")</f>
        <v/>
      </c>
    </row>
    <row r="40" ht="15" customHeight="1">
      <c r="A40" t="inlineStr">
        <is>
          <t>A 64810-2021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44512</v>
      </c>
      <c r="E40" s="1" t="n">
        <v>46295</v>
      </c>
      <c r="F40" t="inlineStr">
        <is>
          <t>VÄSTRA GÖTALANDS LÄN</t>
        </is>
      </c>
      <c r="G40" t="inlineStr">
        <is>
          <t>ULRICEHAMN</t>
        </is>
      </c>
      <c r="I40" t="n">
        <v>17.3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Plattlummer</t>
        </is>
      </c>
      <c r="W40">
        <f>HYPERLINK("https://klasma.github.io/Logging_1491/artfynd/A 64810-2021 artfynd.xlsx", "A 64810-2021")</f>
        <v/>
      </c>
      <c r="X40">
        <f>HYPERLINK("https://klasma.github.io/Logging_1491/kartor/A 64810-2021 karta.png", "A 64810-2021")</f>
        <v/>
      </c>
      <c r="Y40">
        <f>HYPERLINK("https://klasma.github.io/Logging_1491/kartor_geotiff/A 64810-2021 georefererad karta.tif", "A 64810-2021")</f>
        <v/>
      </c>
      <c r="AA40">
        <f>HYPERLINK("https://klasma.github.io/Logging_1491/klagomål/A 64810-2021 FSC-klagomål.docx", "A 64810-2021")</f>
        <v/>
      </c>
      <c r="AB40">
        <f>HYPERLINK("https://klasma.github.io/Logging_1491/klagomålsmail/A 64810-2021 FSC-klagomål mail.docx", "A 64810-2021")</f>
        <v/>
      </c>
      <c r="AC40">
        <f>HYPERLINK("https://klasma.github.io/Logging_1491/tillsyn/A 64810-2021 tillsynsbegäran.docx", "A 64810-2021")</f>
        <v/>
      </c>
      <c r="AD40">
        <f>HYPERLINK("https://klasma.github.io/Logging_1491/tillsynsmail/A 64810-2021 tillsynsbegäran mail.docx", "A 64810-2021")</f>
        <v/>
      </c>
    </row>
    <row r="41" ht="15" customHeight="1">
      <c r="A41" t="inlineStr">
        <is>
          <t>A 43241-2024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45568</v>
      </c>
      <c r="E41" s="1" t="n">
        <v>46295</v>
      </c>
      <c r="F41" t="inlineStr">
        <is>
          <t>VÄSTRA GÖTALANDS LÄN</t>
        </is>
      </c>
      <c r="G41" t="inlineStr">
        <is>
          <t>ULRICEHAMN</t>
        </is>
      </c>
      <c r="I41" t="n">
        <v>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Slåttergubbe</t>
        </is>
      </c>
      <c r="W41">
        <f>HYPERLINK("https://klasma.github.io/Logging_1491/artfynd/A 43241-2024 artfynd.xlsx", "A 43241-2024")</f>
        <v/>
      </c>
      <c r="X41">
        <f>HYPERLINK("https://klasma.github.io/Logging_1491/kartor/A 43241-2024 karta.png", "A 43241-2024")</f>
        <v/>
      </c>
      <c r="Y41">
        <f>HYPERLINK("https://klasma.github.io/Logging_1491/kartor_geotiff/A 43241-2024 georefererad karta.tif", "A 43241-2024")</f>
        <v/>
      </c>
      <c r="AA41">
        <f>HYPERLINK("https://klasma.github.io/Logging_1491/klagomål/A 43241-2024 FSC-klagomål.docx", "A 43241-2024")</f>
        <v/>
      </c>
      <c r="AB41">
        <f>HYPERLINK("https://klasma.github.io/Logging_1491/klagomålsmail/A 43241-2024 FSC-klagomål mail.docx", "A 43241-2024")</f>
        <v/>
      </c>
      <c r="AC41">
        <f>HYPERLINK("https://klasma.github.io/Logging_1491/tillsyn/A 43241-2024 tillsynsbegäran.docx", "A 43241-2024")</f>
        <v/>
      </c>
      <c r="AD41">
        <f>HYPERLINK("https://klasma.github.io/Logging_1491/tillsynsmail/A 43241-2024 tillsynsbegäran mail.docx", "A 43241-2024")</f>
        <v/>
      </c>
    </row>
    <row r="42" ht="15" customHeight="1">
      <c r="A42" t="inlineStr">
        <is>
          <t>A 30954-2022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44768</v>
      </c>
      <c r="E42" s="1" t="n">
        <v>46295</v>
      </c>
      <c r="F42" t="inlineStr">
        <is>
          <t>VÄSTRA GÖTALANDS LÄN</t>
        </is>
      </c>
      <c r="G42" t="inlineStr">
        <is>
          <t>ULRICEHAMN</t>
        </is>
      </c>
      <c r="I42" t="n">
        <v>1.7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Tjäder</t>
        </is>
      </c>
      <c r="W42">
        <f>HYPERLINK("https://klasma.github.io/Logging_1491/artfynd/A 30954-2022 artfynd.xlsx", "A 30954-2022")</f>
        <v/>
      </c>
      <c r="X42">
        <f>HYPERLINK("https://klasma.github.io/Logging_1491/kartor/A 30954-2022 karta.png", "A 30954-2022")</f>
        <v/>
      </c>
      <c r="Y42">
        <f>HYPERLINK("https://klasma.github.io/Logging_1491/kartor_geotiff/A 30954-2022 georefererad karta.tif", "A 30954-2022")</f>
        <v/>
      </c>
      <c r="AA42">
        <f>HYPERLINK("https://klasma.github.io/Logging_1491/klagomål/A 30954-2022 FSC-klagomål.docx", "A 30954-2022")</f>
        <v/>
      </c>
      <c r="AB42">
        <f>HYPERLINK("https://klasma.github.io/Logging_1491/klagomålsmail/A 30954-2022 FSC-klagomål mail.docx", "A 30954-2022")</f>
        <v/>
      </c>
      <c r="AC42">
        <f>HYPERLINK("https://klasma.github.io/Logging_1491/tillsyn/A 30954-2022 tillsynsbegäran.docx", "A 30954-2022")</f>
        <v/>
      </c>
      <c r="AD42">
        <f>HYPERLINK("https://klasma.github.io/Logging_1491/tillsynsmail/A 30954-2022 tillsynsbegäran mail.docx", "A 30954-2022")</f>
        <v/>
      </c>
      <c r="AE42">
        <f>HYPERLINK("https://klasma.github.io/Logging_1491/fåglar/A 30954-2022 prioriterade fågelarter.docx", "A 30954-2022")</f>
        <v/>
      </c>
    </row>
    <row r="43" ht="15" customHeight="1">
      <c r="A43" t="inlineStr">
        <is>
          <t>A 31199-2026</t>
        </is>
      </c>
      <c r="B43" t="inlineStr">
        <is>
          <t>avverkningsanmälan</t>
        </is>
      </c>
      <c r="C43" t="inlineStr">
        <is>
          <t>Avverkning för att bevara och utveckla /försöksver</t>
        </is>
      </c>
      <c r="D43" s="1" t="n">
        <v>46217</v>
      </c>
      <c r="E43" s="1" t="n">
        <v>46295</v>
      </c>
      <c r="F43" t="inlineStr">
        <is>
          <t>VÄSTRA GÖTALANDS LÄN</t>
        </is>
      </c>
      <c r="G43" t="inlineStr">
        <is>
          <t>ULRICEHAMN</t>
        </is>
      </c>
      <c r="I43" t="n">
        <v>3.4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Vanlig groda</t>
        </is>
      </c>
      <c r="W43">
        <f>HYPERLINK("https://klasma.github.io/Logging_1491/artfynd/A 31199-2026 artfynd.xlsx", "A 31199-2026")</f>
        <v/>
      </c>
      <c r="X43">
        <f>HYPERLINK("https://klasma.github.io/Logging_1491/kartor/A 31199-2026 karta.png", "A 31199-2026")</f>
        <v/>
      </c>
      <c r="Y43">
        <f>HYPERLINK("https://klasma.github.io/Logging_1491/kartor_geotiff/A 31199-2026 georefererad karta.tif", "A 31199-2026")</f>
        <v/>
      </c>
      <c r="AA43">
        <f>HYPERLINK("https://klasma.github.io/Logging_1491/klagomål/A 31199-2026 FSC-klagomål.docx", "A 31199-2026")</f>
        <v/>
      </c>
      <c r="AB43">
        <f>HYPERLINK("https://klasma.github.io/Logging_1491/klagomålsmail/A 31199-2026 FSC-klagomål mail.docx", "A 31199-2026")</f>
        <v/>
      </c>
      <c r="AC43">
        <f>HYPERLINK("https://klasma.github.io/Logging_1491/tillsyn/A 31199-2026 tillsynsbegäran.docx", "A 31199-2026")</f>
        <v/>
      </c>
      <c r="AD43">
        <f>HYPERLINK("https://klasma.github.io/Logging_1491/tillsynsmail/A 31199-2026 tillsynsbegäran mail.docx", "A 31199-2026")</f>
        <v/>
      </c>
    </row>
    <row r="44" ht="15" customHeight="1">
      <c r="A44" t="inlineStr">
        <is>
          <t>A 31539-2026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46223</v>
      </c>
      <c r="E44" s="1" t="n">
        <v>46295</v>
      </c>
      <c r="F44" t="inlineStr">
        <is>
          <t>VÄSTRA GÖTALANDS LÄN</t>
        </is>
      </c>
      <c r="G44" t="inlineStr">
        <is>
          <t>ULRICEHAMN</t>
        </is>
      </c>
      <c r="H44" t="inlineStr">
        <is>
          <t>Sveaskog</t>
        </is>
      </c>
      <c r="I44" t="n">
        <v>11.9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Mörk husmossa</t>
        </is>
      </c>
      <c r="W44">
        <f>HYPERLINK("https://klasma.github.io/Logging_1491/artfynd/A 31539-2026 artfynd.xlsx", "A 31539-2026")</f>
        <v/>
      </c>
      <c r="X44">
        <f>HYPERLINK("https://klasma.github.io/Logging_1491/kartor/A 31539-2026 karta.png", "A 31539-2026")</f>
        <v/>
      </c>
      <c r="Y44">
        <f>HYPERLINK("https://klasma.github.io/Logging_1491/kartor_geotiff/A 31539-2026 georefererad karta.tif", "A 31539-2026")</f>
        <v/>
      </c>
      <c r="AA44">
        <f>HYPERLINK("https://klasma.github.io/Logging_1491/klagomål/A 31539-2026 FSC-klagomål.docx", "A 31539-2026")</f>
        <v/>
      </c>
      <c r="AB44">
        <f>HYPERLINK("https://klasma.github.io/Logging_1491/klagomålsmail/A 31539-2026 FSC-klagomål mail.docx", "A 31539-2026")</f>
        <v/>
      </c>
      <c r="AC44">
        <f>HYPERLINK("https://klasma.github.io/Logging_1491/tillsyn/A 31539-2026 tillsynsbegäran.docx", "A 31539-2026")</f>
        <v/>
      </c>
      <c r="AD44">
        <f>HYPERLINK("https://klasma.github.io/Logging_1491/tillsynsmail/A 31539-2026 tillsynsbegäran mail.docx", "A 31539-2026")</f>
        <v/>
      </c>
    </row>
    <row r="45" ht="15" customHeight="1">
      <c r="A45" t="inlineStr">
        <is>
          <t>A 55007-2024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45621</v>
      </c>
      <c r="E45" s="1" t="n">
        <v>46295</v>
      </c>
      <c r="F45" t="inlineStr">
        <is>
          <t>VÄSTRA GÖTALANDS LÄN</t>
        </is>
      </c>
      <c r="G45" t="inlineStr">
        <is>
          <t>ULRICEHAMN</t>
        </is>
      </c>
      <c r="I45" t="n">
        <v>2.3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Gullpudra</t>
        </is>
      </c>
      <c r="W45">
        <f>HYPERLINK("https://klasma.github.io/Logging_1491/artfynd/A 55007-2024 artfynd.xlsx", "A 55007-2024")</f>
        <v/>
      </c>
      <c r="X45">
        <f>HYPERLINK("https://klasma.github.io/Logging_1491/kartor/A 55007-2024 karta.png", "A 55007-2024")</f>
        <v/>
      </c>
      <c r="Y45">
        <f>HYPERLINK("https://klasma.github.io/Logging_1491/kartor_geotiff/A 55007-2024 georefererad karta.tif", "A 55007-2024")</f>
        <v/>
      </c>
      <c r="AA45">
        <f>HYPERLINK("https://klasma.github.io/Logging_1491/klagomål/A 55007-2024 FSC-klagomål.docx", "A 55007-2024")</f>
        <v/>
      </c>
      <c r="AB45">
        <f>HYPERLINK("https://klasma.github.io/Logging_1491/klagomålsmail/A 55007-2024 FSC-klagomål mail.docx", "A 55007-2024")</f>
        <v/>
      </c>
      <c r="AC45">
        <f>HYPERLINK("https://klasma.github.io/Logging_1491/tillsyn/A 55007-2024 tillsynsbegäran.docx", "A 55007-2024")</f>
        <v/>
      </c>
      <c r="AD45">
        <f>HYPERLINK("https://klasma.github.io/Logging_1491/tillsynsmail/A 55007-2024 tillsynsbegäran mail.docx", "A 55007-2024")</f>
        <v/>
      </c>
    </row>
    <row r="46" ht="15" customHeight="1">
      <c r="A46" t="inlineStr">
        <is>
          <t>A 55419-2023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45231</v>
      </c>
      <c r="E46" s="1" t="n">
        <v>46295</v>
      </c>
      <c r="F46" t="inlineStr">
        <is>
          <t>VÄSTRA GÖTALANDS LÄN</t>
        </is>
      </c>
      <c r="G46" t="inlineStr">
        <is>
          <t>ULRICEHAMN</t>
        </is>
      </c>
      <c r="I46" t="n">
        <v>1.6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Tjäder</t>
        </is>
      </c>
      <c r="W46">
        <f>HYPERLINK("https://klasma.github.io/Logging_1491/artfynd/A 55419-2023 artfynd.xlsx", "A 55419-2023")</f>
        <v/>
      </c>
      <c r="X46">
        <f>HYPERLINK("https://klasma.github.io/Logging_1491/kartor/A 55419-2023 karta.png", "A 55419-2023")</f>
        <v/>
      </c>
      <c r="Y46">
        <f>HYPERLINK("https://klasma.github.io/Logging_1491/kartor_geotiff/A 55419-2023 georefererad karta.tif", "A 55419-2023")</f>
        <v/>
      </c>
      <c r="AA46">
        <f>HYPERLINK("https://klasma.github.io/Logging_1491/klagomål/A 55419-2023 FSC-klagomål.docx", "A 55419-2023")</f>
        <v/>
      </c>
      <c r="AB46">
        <f>HYPERLINK("https://klasma.github.io/Logging_1491/klagomålsmail/A 55419-2023 FSC-klagomål mail.docx", "A 55419-2023")</f>
        <v/>
      </c>
      <c r="AC46">
        <f>HYPERLINK("https://klasma.github.io/Logging_1491/tillsyn/A 55419-2023 tillsynsbegäran.docx", "A 55419-2023")</f>
        <v/>
      </c>
      <c r="AD46">
        <f>HYPERLINK("https://klasma.github.io/Logging_1491/tillsynsmail/A 55419-2023 tillsynsbegäran mail.docx", "A 55419-2023")</f>
        <v/>
      </c>
      <c r="AE46">
        <f>HYPERLINK("https://klasma.github.io/Logging_1491/fåglar/A 55419-2023 prioriterade fågelarter.docx", "A 55419-2023")</f>
        <v/>
      </c>
    </row>
    <row r="47" ht="15" customHeight="1">
      <c r="A47" t="inlineStr">
        <is>
          <t>A 21290-2025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45779</v>
      </c>
      <c r="E47" s="1" t="n">
        <v>46295</v>
      </c>
      <c r="F47" t="inlineStr">
        <is>
          <t>VÄSTRA GÖTALANDS LÄN</t>
        </is>
      </c>
      <c r="G47" t="inlineStr">
        <is>
          <t>ULRICEHAMN</t>
        </is>
      </c>
      <c r="I47" t="n">
        <v>2.2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Fällmossa</t>
        </is>
      </c>
      <c r="W47">
        <f>HYPERLINK("https://klasma.github.io/Logging_1491/artfynd/A 21290-2025 artfynd.xlsx", "A 21290-2025")</f>
        <v/>
      </c>
      <c r="X47">
        <f>HYPERLINK("https://klasma.github.io/Logging_1491/kartor/A 21290-2025 karta.png", "A 21290-2025")</f>
        <v/>
      </c>
      <c r="Y47">
        <f>HYPERLINK("https://klasma.github.io/Logging_1491/kartor_geotiff/A 21290-2025 georefererad karta.tif", "A 21290-2025")</f>
        <v/>
      </c>
      <c r="AA47">
        <f>HYPERLINK("https://klasma.github.io/Logging_1491/klagomål/A 21290-2025 FSC-klagomål.docx", "A 21290-2025")</f>
        <v/>
      </c>
      <c r="AB47">
        <f>HYPERLINK("https://klasma.github.io/Logging_1491/klagomålsmail/A 21290-2025 FSC-klagomål mail.docx", "A 21290-2025")</f>
        <v/>
      </c>
      <c r="AC47">
        <f>HYPERLINK("https://klasma.github.io/Logging_1491/tillsyn/A 21290-2025 tillsynsbegäran.docx", "A 21290-2025")</f>
        <v/>
      </c>
      <c r="AD47">
        <f>HYPERLINK("https://klasma.github.io/Logging_1491/tillsynsmail/A 21290-2025 tillsynsbegäran mail.docx", "A 21290-2025")</f>
        <v/>
      </c>
    </row>
    <row r="48" ht="15" customHeight="1">
      <c r="A48" t="inlineStr">
        <is>
          <t>S 8633-2021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44498</v>
      </c>
      <c r="E48" s="1" t="n">
        <v>46295</v>
      </c>
      <c r="F48" t="inlineStr">
        <is>
          <t>VÄSTRA GÖTALANDS LÄN</t>
        </is>
      </c>
      <c r="G48" t="inlineStr">
        <is>
          <t>ULRICEHAMN</t>
        </is>
      </c>
      <c r="I48" t="n">
        <v>192.6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Hasselmus</t>
        </is>
      </c>
      <c r="W48">
        <f>HYPERLINK("https://klasma.github.io/Logging_1491/artfynd/S 8633-2021 artfynd.xlsx", "S 8633-2021")</f>
        <v/>
      </c>
      <c r="X48">
        <f>HYPERLINK("https://klasma.github.io/Logging_1491/kartor/S 8633-2021 karta.png", "S 8633-2021")</f>
        <v/>
      </c>
      <c r="Y48">
        <f>HYPERLINK("https://klasma.github.io/Logging_1491/kartor_geotiff/S 8633-2021 georefererad karta.tif", "S 8633-2021")</f>
        <v/>
      </c>
      <c r="AA48">
        <f>HYPERLINK("https://klasma.github.io/Logging_1491/klagomål/S 8633-2021 FSC-klagomål.docx", "S 8633-2021")</f>
        <v/>
      </c>
      <c r="AB48">
        <f>HYPERLINK("https://klasma.github.io/Logging_1491/klagomålsmail/S 8633-2021 FSC-klagomål mail.docx", "S 8633-2021")</f>
        <v/>
      </c>
      <c r="AC48">
        <f>HYPERLINK("https://klasma.github.io/Logging_1491/tillsyn/S 8633-2021 tillsynsbegäran.docx", "S 8633-2021")</f>
        <v/>
      </c>
      <c r="AD48">
        <f>HYPERLINK("https://klasma.github.io/Logging_1491/tillsynsmail/S 8633-2021 tillsynsbegäran mail.docx", "S 8633-2021")</f>
        <v/>
      </c>
    </row>
    <row r="49" ht="15" customHeight="1">
      <c r="A49" t="inlineStr">
        <is>
          <t>S 591-2024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45351</v>
      </c>
      <c r="E49" s="1" t="n">
        <v>46295</v>
      </c>
      <c r="F49" t="inlineStr">
        <is>
          <t>VÄSTRA GÖTALANDS LÄN</t>
        </is>
      </c>
      <c r="G49" t="inlineStr">
        <is>
          <t>ULRICEHAMN</t>
        </is>
      </c>
      <c r="I49" t="n">
        <v>34.8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Strutbräken</t>
        </is>
      </c>
      <c r="W49">
        <f>HYPERLINK("https://klasma.github.io/Logging_1491/artfynd/S 591-2024 artfynd.xlsx", "S 591-2024")</f>
        <v/>
      </c>
      <c r="X49">
        <f>HYPERLINK("https://klasma.github.io/Logging_1491/kartor/S 591-2024 karta.png", "S 591-2024")</f>
        <v/>
      </c>
      <c r="Y49">
        <f>HYPERLINK("https://klasma.github.io/Logging_1491/kartor_geotiff/S 591-2024 georefererad karta.tif", "S 591-2024")</f>
        <v/>
      </c>
      <c r="AA49">
        <f>HYPERLINK("https://klasma.github.io/Logging_1491/klagomål/S 591-2024 FSC-klagomål.docx", "S 591-2024")</f>
        <v/>
      </c>
      <c r="AB49">
        <f>HYPERLINK("https://klasma.github.io/Logging_1491/klagomålsmail/S 591-2024 FSC-klagomål mail.docx", "S 591-2024")</f>
        <v/>
      </c>
      <c r="AC49">
        <f>HYPERLINK("https://klasma.github.io/Logging_1491/tillsyn/S 591-2024 tillsynsbegäran.docx", "S 591-2024")</f>
        <v/>
      </c>
      <c r="AD49">
        <f>HYPERLINK("https://klasma.github.io/Logging_1491/tillsynsmail/S 591-2024 tillsynsbegäran mail.docx", "S 591-2024")</f>
        <v/>
      </c>
    </row>
    <row r="50" ht="15" customHeight="1">
      <c r="A50" t="inlineStr">
        <is>
          <t>A 8486-2022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44613</v>
      </c>
      <c r="E50" s="1" t="n">
        <v>46295</v>
      </c>
      <c r="F50" t="inlineStr">
        <is>
          <t>VÄSTRA GÖTALANDS LÄN</t>
        </is>
      </c>
      <c r="G50" t="inlineStr">
        <is>
          <t>ULRICEHAMN</t>
        </is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44861</v>
      </c>
      <c r="E51" s="1" t="n">
        <v>46295</v>
      </c>
      <c r="F51" t="inlineStr">
        <is>
          <t>VÄSTRA GÖTALANDS LÄN</t>
        </is>
      </c>
      <c r="G51" t="inlineStr">
        <is>
          <t>ULRICEHAMN</t>
        </is>
      </c>
      <c r="I51" t="n">
        <v>1.9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17430-2022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44679</v>
      </c>
      <c r="E52" s="1" t="n">
        <v>46295</v>
      </c>
      <c r="F52" t="inlineStr">
        <is>
          <t>VÄSTRA GÖTALANDS LÄN</t>
        </is>
      </c>
      <c r="G52" t="inlineStr">
        <is>
          <t>ULRICEHAMN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64832-2021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44512</v>
      </c>
      <c r="E53" s="1" t="n">
        <v>46295</v>
      </c>
      <c r="F53" t="inlineStr">
        <is>
          <t>VÄSTRA GÖTALANDS LÄN</t>
        </is>
      </c>
      <c r="G53" t="inlineStr">
        <is>
          <t>ULRICEHAMN</t>
        </is>
      </c>
      <c r="I53" t="n">
        <v>19.4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55136-2021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44474</v>
      </c>
      <c r="E54" s="1" t="n">
        <v>46295</v>
      </c>
      <c r="F54" t="inlineStr">
        <is>
          <t>VÄSTRA GÖTALANDS LÄN</t>
        </is>
      </c>
      <c r="G54" t="inlineStr">
        <is>
          <t>ULRICEHAMN</t>
        </is>
      </c>
      <c r="I54" t="n">
        <v>1.2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66421-2021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44518</v>
      </c>
      <c r="E55" s="1" t="n">
        <v>46295</v>
      </c>
      <c r="F55" t="inlineStr">
        <is>
          <t>VÄSTRA GÖTALANDS LÄN</t>
        </is>
      </c>
      <c r="G55" t="inlineStr">
        <is>
          <t>ULRICEHAMN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64794-2021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44512</v>
      </c>
      <c r="E56" s="1" t="n">
        <v>46295</v>
      </c>
      <c r="F56" t="inlineStr">
        <is>
          <t>VÄSTRA GÖTALANDS LÄN</t>
        </is>
      </c>
      <c r="G56" t="inlineStr">
        <is>
          <t>ULRICEHAMN</t>
        </is>
      </c>
      <c r="H56" t="inlineStr">
        <is>
          <t>Sveaskog</t>
        </is>
      </c>
      <c r="I56" t="n">
        <v>0.4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70169-2021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44533</v>
      </c>
      <c r="E57" s="1" t="n">
        <v>46295</v>
      </c>
      <c r="F57" t="inlineStr">
        <is>
          <t>VÄSTRA GÖTALANDS LÄN</t>
        </is>
      </c>
      <c r="G57" t="inlineStr">
        <is>
          <t>ULRICEHAMN</t>
        </is>
      </c>
      <c r="I57" t="n">
        <v>3.7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7324-2022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44606</v>
      </c>
      <c r="E58" s="1" t="n">
        <v>46295</v>
      </c>
      <c r="F58" t="inlineStr">
        <is>
          <t>VÄSTRA GÖTALANDS LÄN</t>
        </is>
      </c>
      <c r="G58" t="inlineStr">
        <is>
          <t>ULRICEHAMN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69322-2021</t>
        </is>
      </c>
      <c r="B59" t="inlineStr">
        <is>
          <t>avverkningsanmälan</t>
        </is>
      </c>
      <c r="C59" t="inlineStr">
        <is>
          <t>Avverkning för annat ändamål</t>
        </is>
      </c>
      <c r="D59" s="1" t="n">
        <v>44531</v>
      </c>
      <c r="E59" s="1" t="n">
        <v>46295</v>
      </c>
      <c r="F59" t="inlineStr">
        <is>
          <t>VÄSTRA GÖTALANDS LÄN</t>
        </is>
      </c>
      <c r="G59" t="inlineStr">
        <is>
          <t>ULRICEHAMN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24443-2022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44726</v>
      </c>
      <c r="E60" s="1" t="n">
        <v>46295</v>
      </c>
      <c r="F60" t="inlineStr">
        <is>
          <t>VÄSTRA GÖTALANDS LÄN</t>
        </is>
      </c>
      <c r="G60" t="inlineStr">
        <is>
          <t>ULRICEHAMN</t>
        </is>
      </c>
      <c r="I60" t="n">
        <v>2.4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37687-2022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44810</v>
      </c>
      <c r="E61" s="1" t="n">
        <v>46295</v>
      </c>
      <c r="F61" t="inlineStr">
        <is>
          <t>VÄSTRA GÖTALANDS LÄN</t>
        </is>
      </c>
      <c r="G61" t="inlineStr">
        <is>
          <t>ULRICEHAMN</t>
        </is>
      </c>
      <c r="I61" t="n">
        <v>1.9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39106-2022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44817</v>
      </c>
      <c r="E62" s="1" t="n">
        <v>46295</v>
      </c>
      <c r="F62" t="inlineStr">
        <is>
          <t>VÄSTRA GÖTALANDS LÄN</t>
        </is>
      </c>
      <c r="G62" t="inlineStr">
        <is>
          <t>ULRICEHAMN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12074-2022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44636</v>
      </c>
      <c r="E63" s="1" t="n">
        <v>46295</v>
      </c>
      <c r="F63" t="inlineStr">
        <is>
          <t>VÄSTRA GÖTALANDS LÄN</t>
        </is>
      </c>
      <c r="G63" t="inlineStr">
        <is>
          <t>ULRICEHAMN</t>
        </is>
      </c>
      <c r="I63" t="n">
        <v>1.7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14549-2022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44655</v>
      </c>
      <c r="E64" s="1" t="n">
        <v>46295</v>
      </c>
      <c r="F64" t="inlineStr">
        <is>
          <t>VÄSTRA GÖTALANDS LÄN</t>
        </is>
      </c>
      <c r="G64" t="inlineStr">
        <is>
          <t>ULRICEHAMN</t>
        </is>
      </c>
      <c r="I64" t="n">
        <v>1.3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51292-2022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44868</v>
      </c>
      <c r="E65" s="1" t="n">
        <v>46295</v>
      </c>
      <c r="F65" t="inlineStr">
        <is>
          <t>VÄSTRA GÖTALANDS LÄN</t>
        </is>
      </c>
      <c r="G65" t="inlineStr">
        <is>
          <t>ULRICEHAMN</t>
        </is>
      </c>
      <c r="I65" t="n">
        <v>0.5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48162-2022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44858</v>
      </c>
      <c r="E66" s="1" t="n">
        <v>46295</v>
      </c>
      <c r="F66" t="inlineStr">
        <is>
          <t>VÄSTRA GÖTALANDS LÄN</t>
        </is>
      </c>
      <c r="G66" t="inlineStr">
        <is>
          <t>ULRICEHAMN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37380-2022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44809</v>
      </c>
      <c r="E67" s="1" t="n">
        <v>46295</v>
      </c>
      <c r="F67" t="inlineStr">
        <is>
          <t>VÄSTRA GÖTALANDS LÄN</t>
        </is>
      </c>
      <c r="G67" t="inlineStr">
        <is>
          <t>ULRICEHAMN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40932-2022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44823</v>
      </c>
      <c r="E68" s="1" t="n">
        <v>46295</v>
      </c>
      <c r="F68" t="inlineStr">
        <is>
          <t>VÄSTRA GÖTALANDS LÄN</t>
        </is>
      </c>
      <c r="G68" t="inlineStr">
        <is>
          <t>ULRICEHAMN</t>
        </is>
      </c>
      <c r="I68" t="n">
        <v>3.9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22499-2022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44713</v>
      </c>
      <c r="E69" s="1" t="n">
        <v>46295</v>
      </c>
      <c r="F69" t="inlineStr">
        <is>
          <t>VÄSTRA GÖTALANDS LÄN</t>
        </is>
      </c>
      <c r="G69" t="inlineStr">
        <is>
          <t>ULRICEHAMN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70018-2021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44533</v>
      </c>
      <c r="E70" s="1" t="n">
        <v>46295</v>
      </c>
      <c r="F70" t="inlineStr">
        <is>
          <t>VÄSTRA GÖTALANDS LÄN</t>
        </is>
      </c>
      <c r="G70" t="inlineStr">
        <is>
          <t>ULRICEHAMN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70044-2021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44533</v>
      </c>
      <c r="E71" s="1" t="n">
        <v>46295</v>
      </c>
      <c r="F71" t="inlineStr">
        <is>
          <t>VÄSTRA GÖTALANDS LÄN</t>
        </is>
      </c>
      <c r="G71" t="inlineStr">
        <is>
          <t>ULRICEHAMN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61069-2021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44497</v>
      </c>
      <c r="E72" s="1" t="n">
        <v>46295</v>
      </c>
      <c r="F72" t="inlineStr">
        <is>
          <t>VÄSTRA GÖTALANDS LÄN</t>
        </is>
      </c>
      <c r="G72" t="inlineStr">
        <is>
          <t>ULRICEHAMN</t>
        </is>
      </c>
      <c r="I72" t="n">
        <v>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54486-2022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44882</v>
      </c>
      <c r="E73" s="1" t="n">
        <v>46295</v>
      </c>
      <c r="F73" t="inlineStr">
        <is>
          <t>VÄSTRA GÖTALANDS LÄN</t>
        </is>
      </c>
      <c r="G73" t="inlineStr">
        <is>
          <t>ULRICEHAMN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44565</v>
      </c>
      <c r="E74" s="1" t="n">
        <v>46295</v>
      </c>
      <c r="F74" t="inlineStr">
        <is>
          <t>VÄSTRA GÖTALANDS LÄN</t>
        </is>
      </c>
      <c r="G74" t="inlineStr">
        <is>
          <t>ULRICEHAMN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73823-2021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44552</v>
      </c>
      <c r="E75" s="1" t="n">
        <v>46295</v>
      </c>
      <c r="F75" t="inlineStr">
        <is>
          <t>VÄSTRA GÖTALANDS LÄN</t>
        </is>
      </c>
      <c r="G75" t="inlineStr">
        <is>
          <t>ULRICEHAMN</t>
        </is>
      </c>
      <c r="I75" t="n">
        <v>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59512-2021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46295</v>
      </c>
      <c r="F76" t="inlineStr">
        <is>
          <t>VÄSTRA GÖTALANDS LÄN</t>
        </is>
      </c>
      <c r="G76" t="inlineStr">
        <is>
          <t>ULRICEHAMN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53617-2021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44469</v>
      </c>
      <c r="E77" s="1" t="n">
        <v>46295</v>
      </c>
      <c r="F77" t="inlineStr">
        <is>
          <t>VÄSTRA GÖTALANDS LÄN</t>
        </is>
      </c>
      <c r="G77" t="inlineStr">
        <is>
          <t>ULRICEHAMN</t>
        </is>
      </c>
      <c r="I77" t="n">
        <v>4.7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63170-2021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44506</v>
      </c>
      <c r="E78" s="1" t="n">
        <v>46295</v>
      </c>
      <c r="F78" t="inlineStr">
        <is>
          <t>VÄSTRA GÖTALANDS LÄN</t>
        </is>
      </c>
      <c r="G78" t="inlineStr">
        <is>
          <t>ULRICEHAMN</t>
        </is>
      </c>
      <c r="I78" t="n">
        <v>2.8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25558-2022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44732</v>
      </c>
      <c r="E79" s="1" t="n">
        <v>46295</v>
      </c>
      <c r="F79" t="inlineStr">
        <is>
          <t>VÄSTRA GÖTALANDS LÄN</t>
        </is>
      </c>
      <c r="G79" t="inlineStr">
        <is>
          <t>ULRICEHAMN</t>
        </is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15049-2022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44657</v>
      </c>
      <c r="E80" s="1" t="n">
        <v>46295</v>
      </c>
      <c r="F80" t="inlineStr">
        <is>
          <t>VÄSTRA GÖTALANDS LÄN</t>
        </is>
      </c>
      <c r="G80" t="inlineStr">
        <is>
          <t>ULRICEHAMN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71863-2021</t>
        </is>
      </c>
      <c r="B81" t="inlineStr">
        <is>
          <t>avverkningsanmälan</t>
        </is>
      </c>
      <c r="C81" t="inlineStr">
        <is>
          <t>Avverkning för att bevara och utveckla /försöksver</t>
        </is>
      </c>
      <c r="D81" s="1" t="n">
        <v>44543</v>
      </c>
      <c r="E81" s="1" t="n">
        <v>46295</v>
      </c>
      <c r="F81" t="inlineStr">
        <is>
          <t>VÄSTRA GÖTALANDS LÄN</t>
        </is>
      </c>
      <c r="G81" t="inlineStr">
        <is>
          <t>ULRICEHAMN</t>
        </is>
      </c>
      <c r="H81" t="inlineStr">
        <is>
          <t>Sveaskog</t>
        </is>
      </c>
      <c r="I81" t="n">
        <v>0.4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48614-2022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44854</v>
      </c>
      <c r="E82" s="1" t="n">
        <v>46295</v>
      </c>
      <c r="F82" t="inlineStr">
        <is>
          <t>VÄSTRA GÖTALANDS LÄN</t>
        </is>
      </c>
      <c r="G82" t="inlineStr">
        <is>
          <t>ULRICEHAMN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31714-2022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44776</v>
      </c>
      <c r="E83" s="1" t="n">
        <v>46295</v>
      </c>
      <c r="F83" t="inlineStr">
        <is>
          <t>VÄSTRA GÖTALANDS LÄN</t>
        </is>
      </c>
      <c r="G83" t="inlineStr">
        <is>
          <t>ULRICEHAMN</t>
        </is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14668-2022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44655</v>
      </c>
      <c r="E84" s="1" t="n">
        <v>46295</v>
      </c>
      <c r="F84" t="inlineStr">
        <is>
          <t>VÄSTRA GÖTALANDS LÄN</t>
        </is>
      </c>
      <c r="G84" t="inlineStr">
        <is>
          <t>ULRICEHAMN</t>
        </is>
      </c>
      <c r="I84" t="n">
        <v>6.9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31580-2022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44775</v>
      </c>
      <c r="E85" s="1" t="n">
        <v>46295</v>
      </c>
      <c r="F85" t="inlineStr">
        <is>
          <t>VÄSTRA GÖTALANDS LÄN</t>
        </is>
      </c>
      <c r="G85" t="inlineStr">
        <is>
          <t>ULRICEHAMN</t>
        </is>
      </c>
      <c r="I85" t="n">
        <v>13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14733-2022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44656</v>
      </c>
      <c r="E86" s="1" t="n">
        <v>46295</v>
      </c>
      <c r="F86" t="inlineStr">
        <is>
          <t>VÄSTRA GÖTALANDS LÄN</t>
        </is>
      </c>
      <c r="G86" t="inlineStr">
        <is>
          <t>ULRICEHAMN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25673-2022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44733</v>
      </c>
      <c r="E87" s="1" t="n">
        <v>46295</v>
      </c>
      <c r="F87" t="inlineStr">
        <is>
          <t>VÄSTRA GÖTALANDS LÄN</t>
        </is>
      </c>
      <c r="G87" t="inlineStr">
        <is>
          <t>ULRICEHAMN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47133-2022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44852</v>
      </c>
      <c r="E88" s="1" t="n">
        <v>46295</v>
      </c>
      <c r="F88" t="inlineStr">
        <is>
          <t>VÄSTRA GÖTALANDS LÄN</t>
        </is>
      </c>
      <c r="G88" t="inlineStr">
        <is>
          <t>ULRICEHAMN</t>
        </is>
      </c>
      <c r="I88" t="n">
        <v>0.8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69670-2021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44532</v>
      </c>
      <c r="E89" s="1" t="n">
        <v>46295</v>
      </c>
      <c r="F89" t="inlineStr">
        <is>
          <t>VÄSTRA GÖTALANDS LÄN</t>
        </is>
      </c>
      <c r="G89" t="inlineStr">
        <is>
          <t>ULRICEHAMN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5284-2022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44594</v>
      </c>
      <c r="E90" s="1" t="n">
        <v>46295</v>
      </c>
      <c r="F90" t="inlineStr">
        <is>
          <t>VÄSTRA GÖTALANDS LÄN</t>
        </is>
      </c>
      <c r="G90" t="inlineStr">
        <is>
          <t>ULRICEHAMN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29144-2022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44750</v>
      </c>
      <c r="E91" s="1" t="n">
        <v>46295</v>
      </c>
      <c r="F91" t="inlineStr">
        <is>
          <t>VÄSTRA GÖTALANDS LÄN</t>
        </is>
      </c>
      <c r="G91" t="inlineStr">
        <is>
          <t>ULRICEHAMN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63680-2021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44509</v>
      </c>
      <c r="E92" s="1" t="n">
        <v>46295</v>
      </c>
      <c r="F92" t="inlineStr">
        <is>
          <t>VÄSTRA GÖTALANDS LÄN</t>
        </is>
      </c>
      <c r="G92" t="inlineStr">
        <is>
          <t>ULRICEHAMN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51293-2022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44868</v>
      </c>
      <c r="E93" s="1" t="n">
        <v>46295</v>
      </c>
      <c r="F93" t="inlineStr">
        <is>
          <t>VÄSTRA GÖTALANDS LÄN</t>
        </is>
      </c>
      <c r="G93" t="inlineStr">
        <is>
          <t>ULRICEHAMN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15672-2022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44663</v>
      </c>
      <c r="E94" s="1" t="n">
        <v>46295</v>
      </c>
      <c r="F94" t="inlineStr">
        <is>
          <t>VÄSTRA GÖTALANDS LÄN</t>
        </is>
      </c>
      <c r="G94" t="inlineStr">
        <is>
          <t>ULRICEHAMN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54521-2022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44882</v>
      </c>
      <c r="E95" s="1" t="n">
        <v>46295</v>
      </c>
      <c r="F95" t="inlineStr">
        <is>
          <t>VÄSTRA GÖTALANDS LÄN</t>
        </is>
      </c>
      <c r="G95" t="inlineStr">
        <is>
          <t>ULRICEHAMN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9953-2022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44621</v>
      </c>
      <c r="E96" s="1" t="n">
        <v>46295</v>
      </c>
      <c r="F96" t="inlineStr">
        <is>
          <t>VÄSTRA GÖTALANDS LÄN</t>
        </is>
      </c>
      <c r="G96" t="inlineStr">
        <is>
          <t>ULRICEHAMN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44606</v>
      </c>
      <c r="E97" s="1" t="n">
        <v>46295</v>
      </c>
      <c r="F97" t="inlineStr">
        <is>
          <t>VÄSTRA GÖTALANDS LÄN</t>
        </is>
      </c>
      <c r="G97" t="inlineStr">
        <is>
          <t>ULRICEHAMN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67657-2021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44524</v>
      </c>
      <c r="E98" s="1" t="n">
        <v>46295</v>
      </c>
      <c r="F98" t="inlineStr">
        <is>
          <t>VÄSTRA GÖTALANDS LÄN</t>
        </is>
      </c>
      <c r="G98" t="inlineStr">
        <is>
          <t>ULRICEHAMN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4873-2022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44593</v>
      </c>
      <c r="E99" s="1" t="n">
        <v>46295</v>
      </c>
      <c r="F99" t="inlineStr">
        <is>
          <t>VÄSTRA GÖTALANDS LÄN</t>
        </is>
      </c>
      <c r="G99" t="inlineStr">
        <is>
          <t>ULRICEHAMN</t>
        </is>
      </c>
      <c r="I99" t="n">
        <v>3.8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8178-2022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44609</v>
      </c>
      <c r="E100" s="1" t="n">
        <v>46295</v>
      </c>
      <c r="F100" t="inlineStr">
        <is>
          <t>VÄSTRA GÖTALANDS LÄN</t>
        </is>
      </c>
      <c r="G100" t="inlineStr">
        <is>
          <t>ULRICEHAMN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4870-2022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44593</v>
      </c>
      <c r="E101" s="1" t="n">
        <v>46295</v>
      </c>
      <c r="F101" t="inlineStr">
        <is>
          <t>VÄSTRA GÖTALANDS LÄN</t>
        </is>
      </c>
      <c r="G101" t="inlineStr">
        <is>
          <t>ULRICEHAMN</t>
        </is>
      </c>
      <c r="I101" t="n">
        <v>1.1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56770-2021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46295</v>
      </c>
      <c r="F102" t="inlineStr">
        <is>
          <t>VÄSTRA GÖTALANDS LÄN</t>
        </is>
      </c>
      <c r="G102" t="inlineStr">
        <is>
          <t>ULRICEHAMN</t>
        </is>
      </c>
      <c r="I102" t="n">
        <v>8.199999999999999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12443-2022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44638</v>
      </c>
      <c r="E103" s="1" t="n">
        <v>46295</v>
      </c>
      <c r="F103" t="inlineStr">
        <is>
          <t>VÄSTRA GÖTALANDS LÄN</t>
        </is>
      </c>
      <c r="G103" t="inlineStr">
        <is>
          <t>ULRICEHAMN</t>
        </is>
      </c>
      <c r="I103" t="n">
        <v>9.800000000000001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10558-2022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44624</v>
      </c>
      <c r="E104" s="1" t="n">
        <v>46295</v>
      </c>
      <c r="F104" t="inlineStr">
        <is>
          <t>VÄSTRA GÖTALANDS LÄN</t>
        </is>
      </c>
      <c r="G104" t="inlineStr">
        <is>
          <t>ULRICEHAMN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8170-2022</t>
        </is>
      </c>
      <c r="B105" t="inlineStr">
        <is>
          <t>avverkningsanmälan</t>
        </is>
      </c>
      <c r="C105" t="inlineStr">
        <is>
          <t>Avverkning för annat ändamål</t>
        </is>
      </c>
      <c r="D105" s="1" t="n">
        <v>44609</v>
      </c>
      <c r="E105" s="1" t="n">
        <v>46295</v>
      </c>
      <c r="F105" t="inlineStr">
        <is>
          <t>VÄSTRA GÖTALANDS LÄN</t>
        </is>
      </c>
      <c r="G105" t="inlineStr">
        <is>
          <t>ULRICEHAMN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53899-2022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44880</v>
      </c>
      <c r="E106" s="1" t="n">
        <v>46295</v>
      </c>
      <c r="F106" t="inlineStr">
        <is>
          <t>VÄSTRA GÖTALANDS LÄN</t>
        </is>
      </c>
      <c r="G106" t="inlineStr">
        <is>
          <t>ULRICEHAMN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56671-2024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45626</v>
      </c>
      <c r="E107" s="1" t="n">
        <v>46295</v>
      </c>
      <c r="F107" t="inlineStr">
        <is>
          <t>VÄSTRA GÖTALANDS LÄN</t>
        </is>
      </c>
      <c r="G107" t="inlineStr">
        <is>
          <t>ULRICEHAMN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56674-2024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45626</v>
      </c>
      <c r="E108" s="1" t="n">
        <v>46295</v>
      </c>
      <c r="F108" t="inlineStr">
        <is>
          <t>VÄSTRA GÖTALANDS LÄN</t>
        </is>
      </c>
      <c r="G108" t="inlineStr">
        <is>
          <t>ULRICEHAMN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32156-2022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44781</v>
      </c>
      <c r="E109" s="1" t="n">
        <v>46295</v>
      </c>
      <c r="F109" t="inlineStr">
        <is>
          <t>VÄSTRA GÖTALANDS LÄN</t>
        </is>
      </c>
      <c r="G109" t="inlineStr">
        <is>
          <t>ULRICEHAMN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57571-2023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45246</v>
      </c>
      <c r="E110" s="1" t="n">
        <v>46295</v>
      </c>
      <c r="F110" t="inlineStr">
        <is>
          <t>VÄSTRA GÖTALANDS LÄN</t>
        </is>
      </c>
      <c r="G110" t="inlineStr">
        <is>
          <t>ULRICEHAMN</t>
        </is>
      </c>
      <c r="I110" t="n">
        <v>1.5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9754-2024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45362</v>
      </c>
      <c r="E111" s="1" t="n">
        <v>46295</v>
      </c>
      <c r="F111" t="inlineStr">
        <is>
          <t>VÄSTRA GÖTALANDS LÄN</t>
        </is>
      </c>
      <c r="G111" t="inlineStr">
        <is>
          <t>ULRICEHAMN</t>
        </is>
      </c>
      <c r="H111" t="inlineStr">
        <is>
          <t>Sveaskog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39762-2024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45552</v>
      </c>
      <c r="E112" s="1" t="n">
        <v>46295</v>
      </c>
      <c r="F112" t="inlineStr">
        <is>
          <t>VÄSTRA GÖTALANDS LÄN</t>
        </is>
      </c>
      <c r="G112" t="inlineStr">
        <is>
          <t>ULRICEHAMN</t>
        </is>
      </c>
      <c r="I112" t="n">
        <v>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39763-2024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45552</v>
      </c>
      <c r="E113" s="1" t="n">
        <v>46295</v>
      </c>
      <c r="F113" t="inlineStr">
        <is>
          <t>VÄSTRA GÖTALANDS LÄN</t>
        </is>
      </c>
      <c r="G113" t="inlineStr">
        <is>
          <t>ULRICEHAMN</t>
        </is>
      </c>
      <c r="I113" t="n">
        <v>6.7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27256-2024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45471</v>
      </c>
      <c r="E114" s="1" t="n">
        <v>46295</v>
      </c>
      <c r="F114" t="inlineStr">
        <is>
          <t>VÄSTRA GÖTALANDS LÄN</t>
        </is>
      </c>
      <c r="G114" t="inlineStr">
        <is>
          <t>ULRICEHAMN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53965-2022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44881</v>
      </c>
      <c r="E115" s="1" t="n">
        <v>46295</v>
      </c>
      <c r="F115" t="inlineStr">
        <is>
          <t>VÄSTRA GÖTALANDS LÄN</t>
        </is>
      </c>
      <c r="G115" t="inlineStr">
        <is>
          <t>ULRICEHAMN</t>
        </is>
      </c>
      <c r="I115" t="n">
        <v>1.9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23856-2023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45075</v>
      </c>
      <c r="E116" s="1" t="n">
        <v>46295</v>
      </c>
      <c r="F116" t="inlineStr">
        <is>
          <t>VÄSTRA GÖTALANDS LÄN</t>
        </is>
      </c>
      <c r="G116" t="inlineStr">
        <is>
          <t>ULRICEHAMN</t>
        </is>
      </c>
      <c r="I116" t="n">
        <v>4.3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16278-2024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45407</v>
      </c>
      <c r="E117" s="1" t="n">
        <v>46295</v>
      </c>
      <c r="F117" t="inlineStr">
        <is>
          <t>VÄSTRA GÖTALANDS LÄN</t>
        </is>
      </c>
      <c r="G117" t="inlineStr">
        <is>
          <t>ULRICEHAMN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24996-2023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45085</v>
      </c>
      <c r="E118" s="1" t="n">
        <v>46295</v>
      </c>
      <c r="F118" t="inlineStr">
        <is>
          <t>VÄSTRA GÖTALANDS LÄN</t>
        </is>
      </c>
      <c r="G118" t="inlineStr">
        <is>
          <t>ULRICEHAMN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25000-2023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45085</v>
      </c>
      <c r="E119" s="1" t="n">
        <v>46295</v>
      </c>
      <c r="F119" t="inlineStr">
        <is>
          <t>VÄSTRA GÖTALANDS LÄN</t>
        </is>
      </c>
      <c r="G119" t="inlineStr">
        <is>
          <t>ULRICEHAMN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31212-2022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44771</v>
      </c>
      <c r="E120" s="1" t="n">
        <v>46295</v>
      </c>
      <c r="F120" t="inlineStr">
        <is>
          <t>VÄSTRA GÖTALANDS LÄN</t>
        </is>
      </c>
      <c r="G120" t="inlineStr">
        <is>
          <t>ULRICEHAMN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8982-2024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45357</v>
      </c>
      <c r="E121" s="1" t="n">
        <v>46295</v>
      </c>
      <c r="F121" t="inlineStr">
        <is>
          <t>VÄSTRA GÖTALANDS LÄN</t>
        </is>
      </c>
      <c r="G121" t="inlineStr">
        <is>
          <t>ULRICEHAMN</t>
        </is>
      </c>
      <c r="H121" t="inlineStr">
        <is>
          <t>Sveaskog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6244-2025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45698</v>
      </c>
      <c r="E122" s="1" t="n">
        <v>46295</v>
      </c>
      <c r="F122" t="inlineStr">
        <is>
          <t>VÄSTRA GÖTALANDS LÄN</t>
        </is>
      </c>
      <c r="G122" t="inlineStr">
        <is>
          <t>ULRICEHAMN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39343-2022</t>
        </is>
      </c>
      <c r="B123" t="inlineStr">
        <is>
          <t>avverkningsanmälan</t>
        </is>
      </c>
      <c r="C123" t="inlineStr">
        <is>
          <t>Avverkning för annat ändamål</t>
        </is>
      </c>
      <c r="D123" s="1" t="n">
        <v>44817</v>
      </c>
      <c r="E123" s="1" t="n">
        <v>46295</v>
      </c>
      <c r="F123" t="inlineStr">
        <is>
          <t>VÄSTRA GÖTALANDS LÄN</t>
        </is>
      </c>
      <c r="G123" t="inlineStr">
        <is>
          <t>ULRICEHAMN</t>
        </is>
      </c>
      <c r="I123" t="n">
        <v>4.9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7212-2024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45344</v>
      </c>
      <c r="E124" s="1" t="n">
        <v>46295</v>
      </c>
      <c r="F124" t="inlineStr">
        <is>
          <t>VÄSTRA GÖTALANDS LÄN</t>
        </is>
      </c>
      <c r="G124" t="inlineStr">
        <is>
          <t>ULRICEHAMN</t>
        </is>
      </c>
      <c r="I124" t="n">
        <v>3.3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26893-2023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45093</v>
      </c>
      <c r="E125" s="1" t="n">
        <v>46295</v>
      </c>
      <c r="F125" t="inlineStr">
        <is>
          <t>VÄSTRA GÖTALANDS LÄN</t>
        </is>
      </c>
      <c r="G125" t="inlineStr">
        <is>
          <t>ULRICEHAMN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14919-2024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45398</v>
      </c>
      <c r="E126" s="1" t="n">
        <v>46295</v>
      </c>
      <c r="F126" t="inlineStr">
        <is>
          <t>VÄSTRA GÖTALANDS LÄN</t>
        </is>
      </c>
      <c r="G126" t="inlineStr">
        <is>
          <t>ULRICEHAMN</t>
        </is>
      </c>
      <c r="I126" t="n">
        <v>6.1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64762-2021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44512</v>
      </c>
      <c r="E127" s="1" t="n">
        <v>46295</v>
      </c>
      <c r="F127" t="inlineStr">
        <is>
          <t>VÄSTRA GÖTALANDS LÄN</t>
        </is>
      </c>
      <c r="G127" t="inlineStr">
        <is>
          <t>ULRICEHAMN</t>
        </is>
      </c>
      <c r="H127" t="inlineStr">
        <is>
          <t>Sveaskog</t>
        </is>
      </c>
      <c r="I127" t="n">
        <v>8.4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58204-2023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45250</v>
      </c>
      <c r="E128" s="1" t="n">
        <v>46295</v>
      </c>
      <c r="F128" t="inlineStr">
        <is>
          <t>VÄSTRA GÖTALANDS LÄN</t>
        </is>
      </c>
      <c r="G128" t="inlineStr">
        <is>
          <t>ULRICEHAMN</t>
        </is>
      </c>
      <c r="I128" t="n">
        <v>2.9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19093-2024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45428</v>
      </c>
      <c r="E129" s="1" t="n">
        <v>46295</v>
      </c>
      <c r="F129" t="inlineStr">
        <is>
          <t>VÄSTRA GÖTALANDS LÄN</t>
        </is>
      </c>
      <c r="G129" t="inlineStr">
        <is>
          <t>ULRICEHAMN</t>
        </is>
      </c>
      <c r="I129" t="n">
        <v>3.7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27399-2024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45474</v>
      </c>
      <c r="E130" s="1" t="n">
        <v>46295</v>
      </c>
      <c r="F130" t="inlineStr">
        <is>
          <t>VÄSTRA GÖTALANDS LÄN</t>
        </is>
      </c>
      <c r="G130" t="inlineStr">
        <is>
          <t>ULRICEHAMN</t>
        </is>
      </c>
      <c r="I130" t="n">
        <v>7.1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49986-2023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45215</v>
      </c>
      <c r="E131" s="1" t="n">
        <v>46295</v>
      </c>
      <c r="F131" t="inlineStr">
        <is>
          <t>VÄSTRA GÖTALANDS LÄN</t>
        </is>
      </c>
      <c r="G131" t="inlineStr">
        <is>
          <t>ULRICEHAMN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21972-2024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45443</v>
      </c>
      <c r="E132" s="1" t="n">
        <v>46295</v>
      </c>
      <c r="F132" t="inlineStr">
        <is>
          <t>VÄSTRA GÖTALANDS LÄN</t>
        </is>
      </c>
      <c r="G132" t="inlineStr">
        <is>
          <t>ULRICEHAMN</t>
        </is>
      </c>
      <c r="I132" t="n">
        <v>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37358-2022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44809</v>
      </c>
      <c r="E133" s="1" t="n">
        <v>46295</v>
      </c>
      <c r="F133" t="inlineStr">
        <is>
          <t>VÄSTRA GÖTALANDS LÄN</t>
        </is>
      </c>
      <c r="G133" t="inlineStr">
        <is>
          <t>ULRICEHAMN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61622-2022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44916</v>
      </c>
      <c r="E134" s="1" t="n">
        <v>46295</v>
      </c>
      <c r="F134" t="inlineStr">
        <is>
          <t>VÄSTRA GÖTALANDS LÄN</t>
        </is>
      </c>
      <c r="G134" t="inlineStr">
        <is>
          <t>ULRICEHAMN</t>
        </is>
      </c>
      <c r="I134" t="n">
        <v>3.4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61623-2022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44916</v>
      </c>
      <c r="E135" s="1" t="n">
        <v>46295</v>
      </c>
      <c r="F135" t="inlineStr">
        <is>
          <t>VÄSTRA GÖTALANDS LÄN</t>
        </is>
      </c>
      <c r="G135" t="inlineStr">
        <is>
          <t>ULRICEHAMN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56295-2023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45242</v>
      </c>
      <c r="E136" s="1" t="n">
        <v>46295</v>
      </c>
      <c r="F136" t="inlineStr">
        <is>
          <t>VÄSTRA GÖTALANDS LÄN</t>
        </is>
      </c>
      <c r="G136" t="inlineStr">
        <is>
          <t>ULRICEHAMN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25164-2023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45086</v>
      </c>
      <c r="E137" s="1" t="n">
        <v>46295</v>
      </c>
      <c r="F137" t="inlineStr">
        <is>
          <t>VÄSTRA GÖTALANDS LÄN</t>
        </is>
      </c>
      <c r="G137" t="inlineStr">
        <is>
          <t>ULRICEHAMN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9581-2025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45715</v>
      </c>
      <c r="E138" s="1" t="n">
        <v>46295</v>
      </c>
      <c r="F138" t="inlineStr">
        <is>
          <t>VÄSTRA GÖTALANDS LÄN</t>
        </is>
      </c>
      <c r="G138" t="inlineStr">
        <is>
          <t>ULRICEHAMN</t>
        </is>
      </c>
      <c r="H138" t="inlineStr">
        <is>
          <t>Sveaskog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6320-2025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45698</v>
      </c>
      <c r="E139" s="1" t="n">
        <v>46295</v>
      </c>
      <c r="F139" t="inlineStr">
        <is>
          <t>VÄSTRA GÖTALANDS LÄN</t>
        </is>
      </c>
      <c r="G139" t="inlineStr">
        <is>
          <t>ULRICEHAMN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64739-2023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46295</v>
      </c>
      <c r="F140" t="inlineStr">
        <is>
          <t>VÄSTRA GÖTALANDS LÄN</t>
        </is>
      </c>
      <c r="G140" t="inlineStr">
        <is>
          <t>ULRICEHAMN</t>
        </is>
      </c>
      <c r="I140" t="n">
        <v>1.4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6420-2025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45699</v>
      </c>
      <c r="E141" s="1" t="n">
        <v>46295</v>
      </c>
      <c r="F141" t="inlineStr">
        <is>
          <t>VÄSTRA GÖTALANDS LÄN</t>
        </is>
      </c>
      <c r="G141" t="inlineStr">
        <is>
          <t>ULRICEHAMN</t>
        </is>
      </c>
      <c r="I141" t="n">
        <v>6.3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37501-2023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45157</v>
      </c>
      <c r="E142" s="1" t="n">
        <v>46295</v>
      </c>
      <c r="F142" t="inlineStr">
        <is>
          <t>VÄSTRA GÖTALANDS LÄN</t>
        </is>
      </c>
      <c r="G142" t="inlineStr">
        <is>
          <t>ULRICEHAMN</t>
        </is>
      </c>
      <c r="I142" t="n">
        <v>4.9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50965-2024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45603</v>
      </c>
      <c r="E143" s="1" t="n">
        <v>46295</v>
      </c>
      <c r="F143" t="inlineStr">
        <is>
          <t>VÄSTRA GÖTALANDS LÄN</t>
        </is>
      </c>
      <c r="G143" t="inlineStr">
        <is>
          <t>ULRICEHAMN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50966-2024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45603</v>
      </c>
      <c r="E144" s="1" t="n">
        <v>46295</v>
      </c>
      <c r="F144" t="inlineStr">
        <is>
          <t>VÄSTRA GÖTALANDS LÄN</t>
        </is>
      </c>
      <c r="G144" t="inlineStr">
        <is>
          <t>ULRICEHAMN</t>
        </is>
      </c>
      <c r="I144" t="n">
        <v>4.9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55323-2022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44887</v>
      </c>
      <c r="E145" s="1" t="n">
        <v>46295</v>
      </c>
      <c r="F145" t="inlineStr">
        <is>
          <t>VÄSTRA GÖTALANDS LÄN</t>
        </is>
      </c>
      <c r="G145" t="inlineStr">
        <is>
          <t>ULRICEHAMN</t>
        </is>
      </c>
      <c r="H145" t="inlineStr">
        <is>
          <t>Sveaskog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25901-2024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45467</v>
      </c>
      <c r="E146" s="1" t="n">
        <v>46295</v>
      </c>
      <c r="F146" t="inlineStr">
        <is>
          <t>VÄSTRA GÖTALANDS LÄN</t>
        </is>
      </c>
      <c r="G146" t="inlineStr">
        <is>
          <t>ULRICEHAMN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23267-2025</t>
        </is>
      </c>
      <c r="B147" t="inlineStr">
        <is>
          <t>avverkningsanmälan</t>
        </is>
      </c>
      <c r="C147" t="inlineStr">
        <is>
          <t>Avverkning för att bevara och utveckla /försöksver</t>
        </is>
      </c>
      <c r="D147" s="1" t="n">
        <v>45791</v>
      </c>
      <c r="E147" s="1" t="n">
        <v>46295</v>
      </c>
      <c r="F147" t="inlineStr">
        <is>
          <t>VÄSTRA GÖTALANDS LÄN</t>
        </is>
      </c>
      <c r="G147" t="inlineStr">
        <is>
          <t>ULRICEHAMN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3440-2024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45320</v>
      </c>
      <c r="E148" s="1" t="n">
        <v>46295</v>
      </c>
      <c r="F148" t="inlineStr">
        <is>
          <t>VÄSTRA GÖTALANDS LÄN</t>
        </is>
      </c>
      <c r="G148" t="inlineStr">
        <is>
          <t>ULRICEHAMN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4759-2025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45688</v>
      </c>
      <c r="E149" s="1" t="n">
        <v>46295</v>
      </c>
      <c r="F149" t="inlineStr">
        <is>
          <t>VÄSTRA GÖTALANDS LÄN</t>
        </is>
      </c>
      <c r="G149" t="inlineStr">
        <is>
          <t>ULRICEHAMN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60084-2023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45258</v>
      </c>
      <c r="E150" s="1" t="n">
        <v>46295</v>
      </c>
      <c r="F150" t="inlineStr">
        <is>
          <t>VÄSTRA GÖTALANDS LÄN</t>
        </is>
      </c>
      <c r="G150" t="inlineStr">
        <is>
          <t>ULRICEHAMN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56830-2022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44894</v>
      </c>
      <c r="E151" s="1" t="n">
        <v>46295</v>
      </c>
      <c r="F151" t="inlineStr">
        <is>
          <t>VÄSTRA GÖTALANDS LÄN</t>
        </is>
      </c>
      <c r="G151" t="inlineStr">
        <is>
          <t>ULRICEHAMN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5174-2025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45691</v>
      </c>
      <c r="E152" s="1" t="n">
        <v>46295</v>
      </c>
      <c r="F152" t="inlineStr">
        <is>
          <t>VÄSTRA GÖTALANDS LÄN</t>
        </is>
      </c>
      <c r="G152" t="inlineStr">
        <is>
          <t>ULRICEHAMN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11509-2025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45726</v>
      </c>
      <c r="E153" s="1" t="n">
        <v>46295</v>
      </c>
      <c r="F153" t="inlineStr">
        <is>
          <t>VÄSTRA GÖTALANDS LÄN</t>
        </is>
      </c>
      <c r="G153" t="inlineStr">
        <is>
          <t>ULRICEHAMN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48599-2024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45593</v>
      </c>
      <c r="E154" s="1" t="n">
        <v>46295</v>
      </c>
      <c r="F154" t="inlineStr">
        <is>
          <t>VÄSTRA GÖTALANDS LÄN</t>
        </is>
      </c>
      <c r="G154" t="inlineStr">
        <is>
          <t>ULRICEHAMN</t>
        </is>
      </c>
      <c r="I154" t="n">
        <v>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18656-2023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45043</v>
      </c>
      <c r="E155" s="1" t="n">
        <v>46295</v>
      </c>
      <c r="F155" t="inlineStr">
        <is>
          <t>VÄSTRA GÖTALANDS LÄN</t>
        </is>
      </c>
      <c r="G155" t="inlineStr">
        <is>
          <t>ULRICEHAMN</t>
        </is>
      </c>
      <c r="I155" t="n">
        <v>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38595-2023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45162</v>
      </c>
      <c r="E156" s="1" t="n">
        <v>46295</v>
      </c>
      <c r="F156" t="inlineStr">
        <is>
          <t>VÄSTRA GÖTALANDS LÄN</t>
        </is>
      </c>
      <c r="G156" t="inlineStr">
        <is>
          <t>ULRICEHAMN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5485-2024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45334</v>
      </c>
      <c r="E157" s="1" t="n">
        <v>46295</v>
      </c>
      <c r="F157" t="inlineStr">
        <is>
          <t>VÄSTRA GÖTALANDS LÄN</t>
        </is>
      </c>
      <c r="G157" t="inlineStr">
        <is>
          <t>ULRICEHAMN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29529-2024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45484</v>
      </c>
      <c r="E158" s="1" t="n">
        <v>46295</v>
      </c>
      <c r="F158" t="inlineStr">
        <is>
          <t>VÄSTRA GÖTALANDS LÄN</t>
        </is>
      </c>
      <c r="G158" t="inlineStr">
        <is>
          <t>ULRICEHAMN</t>
        </is>
      </c>
      <c r="I158" t="n">
        <v>1.7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29595-2024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45484</v>
      </c>
      <c r="E159" s="1" t="n">
        <v>46295</v>
      </c>
      <c r="F159" t="inlineStr">
        <is>
          <t>VÄSTRA GÖTALANDS LÄN</t>
        </is>
      </c>
      <c r="G159" t="inlineStr">
        <is>
          <t>ULRICEHAMN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24347-2025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45797</v>
      </c>
      <c r="E160" s="1" t="n">
        <v>46295</v>
      </c>
      <c r="F160" t="inlineStr">
        <is>
          <t>VÄSTRA GÖTALANDS LÄN</t>
        </is>
      </c>
      <c r="G160" t="inlineStr">
        <is>
          <t>ULRICEHAMN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57098-2022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44895</v>
      </c>
      <c r="E161" s="1" t="n">
        <v>46295</v>
      </c>
      <c r="F161" t="inlineStr">
        <is>
          <t>VÄSTRA GÖTALANDS LÄN</t>
        </is>
      </c>
      <c r="G161" t="inlineStr">
        <is>
          <t>ULRICEHAMN</t>
        </is>
      </c>
      <c r="I161" t="n">
        <v>0.8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23937-2025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45795</v>
      </c>
      <c r="E162" s="1" t="n">
        <v>46295</v>
      </c>
      <c r="F162" t="inlineStr">
        <is>
          <t>VÄSTRA GÖTALANDS LÄN</t>
        </is>
      </c>
      <c r="G162" t="inlineStr">
        <is>
          <t>ULRICEHAMN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60744-2022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44914</v>
      </c>
      <c r="E163" s="1" t="n">
        <v>46295</v>
      </c>
      <c r="F163" t="inlineStr">
        <is>
          <t>VÄSTRA GÖTALANDS LÄN</t>
        </is>
      </c>
      <c r="G163" t="inlineStr">
        <is>
          <t>ULRICEHAMN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39404-2025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45889</v>
      </c>
      <c r="E164" s="1" t="n">
        <v>46295</v>
      </c>
      <c r="F164" t="inlineStr">
        <is>
          <t>VÄSTRA GÖTALANDS LÄN</t>
        </is>
      </c>
      <c r="G164" t="inlineStr">
        <is>
          <t>ULRICEHAMN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636-2026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46029</v>
      </c>
      <c r="E165" s="1" t="n">
        <v>46295</v>
      </c>
      <c r="F165" t="inlineStr">
        <is>
          <t>VÄSTRA GÖTALANDS LÄN</t>
        </is>
      </c>
      <c r="G165" t="inlineStr">
        <is>
          <t>ULRICEHAMN</t>
        </is>
      </c>
      <c r="I165" t="n">
        <v>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39403-2025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45889</v>
      </c>
      <c r="E166" s="1" t="n">
        <v>46295</v>
      </c>
      <c r="F166" t="inlineStr">
        <is>
          <t>VÄSTRA GÖTALANDS LÄN</t>
        </is>
      </c>
      <c r="G166" t="inlineStr">
        <is>
          <t>ULRICEHAMN</t>
        </is>
      </c>
      <c r="I166" t="n">
        <v>4.3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63265-2023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45273</v>
      </c>
      <c r="E167" s="1" t="n">
        <v>46295</v>
      </c>
      <c r="F167" t="inlineStr">
        <is>
          <t>VÄSTRA GÖTALANDS LÄN</t>
        </is>
      </c>
      <c r="G167" t="inlineStr">
        <is>
          <t>ULRICEHAMN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6571-2024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45341</v>
      </c>
      <c r="E168" s="1" t="n">
        <v>46295</v>
      </c>
      <c r="F168" t="inlineStr">
        <is>
          <t>VÄSTRA GÖTALANDS LÄN</t>
        </is>
      </c>
      <c r="G168" t="inlineStr">
        <is>
          <t>ULRICEHAMN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39407-2025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45889</v>
      </c>
      <c r="E169" s="1" t="n">
        <v>46295</v>
      </c>
      <c r="F169" t="inlineStr">
        <is>
          <t>VÄSTRA GÖTALANDS LÄN</t>
        </is>
      </c>
      <c r="G169" t="inlineStr">
        <is>
          <t>ULRICEHAMN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39401-2025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45889</v>
      </c>
      <c r="E170" s="1" t="n">
        <v>46295</v>
      </c>
      <c r="F170" t="inlineStr">
        <is>
          <t>VÄSTRA GÖTALANDS LÄN</t>
        </is>
      </c>
      <c r="G170" t="inlineStr">
        <is>
          <t>ULRICEHAMN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1056-2026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46030</v>
      </c>
      <c r="E171" s="1" t="n">
        <v>46295</v>
      </c>
      <c r="F171" t="inlineStr">
        <is>
          <t>VÄSTRA GÖTALANDS LÄN</t>
        </is>
      </c>
      <c r="G171" t="inlineStr">
        <is>
          <t>ULRICEHAMN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51639-2024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45605</v>
      </c>
      <c r="E172" s="1" t="n">
        <v>46295</v>
      </c>
      <c r="F172" t="inlineStr">
        <is>
          <t>VÄSTRA GÖTALANDS LÄN</t>
        </is>
      </c>
      <c r="G172" t="inlineStr">
        <is>
          <t>ULRICEHAMN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60556-2024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45643</v>
      </c>
      <c r="E173" s="1" t="n">
        <v>46295</v>
      </c>
      <c r="F173" t="inlineStr">
        <is>
          <t>VÄSTRA GÖTALANDS LÄN</t>
        </is>
      </c>
      <c r="G173" t="inlineStr">
        <is>
          <t>ULRICEHAMN</t>
        </is>
      </c>
      <c r="I173" t="n">
        <v>1.7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24901-2025</t>
        </is>
      </c>
      <c r="B174" t="inlineStr">
        <is>
          <t>avverkningsanmälan</t>
        </is>
      </c>
      <c r="C174" t="inlineStr">
        <is>
          <t>Avverkning för att bevara och utveckla /försöksver</t>
        </is>
      </c>
      <c r="D174" s="1" t="n">
        <v>45799</v>
      </c>
      <c r="E174" s="1" t="n">
        <v>46295</v>
      </c>
      <c r="F174" t="inlineStr">
        <is>
          <t>VÄSTRA GÖTALANDS LÄN</t>
        </is>
      </c>
      <c r="G174" t="inlineStr">
        <is>
          <t>ULRICEHAMN</t>
        </is>
      </c>
      <c r="I174" t="n">
        <v>3.8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40564-2025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45896</v>
      </c>
      <c r="E175" s="1" t="n">
        <v>46295</v>
      </c>
      <c r="F175" t="inlineStr">
        <is>
          <t>VÄSTRA GÖTALANDS LÄN</t>
        </is>
      </c>
      <c r="G175" t="inlineStr">
        <is>
          <t>ULRICEHAMN</t>
        </is>
      </c>
      <c r="I175" t="n">
        <v>0.3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40425-2025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45895</v>
      </c>
      <c r="E176" s="1" t="n">
        <v>46295</v>
      </c>
      <c r="F176" t="inlineStr">
        <is>
          <t>VÄSTRA GÖTALANDS LÄN</t>
        </is>
      </c>
      <c r="G176" t="inlineStr">
        <is>
          <t>ULRICEHAMN</t>
        </is>
      </c>
      <c r="H176" t="inlineStr">
        <is>
          <t>Kommuner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832-2026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46030</v>
      </c>
      <c r="E177" s="1" t="n">
        <v>46295</v>
      </c>
      <c r="F177" t="inlineStr">
        <is>
          <t>VÄSTRA GÖTALANDS LÄN</t>
        </is>
      </c>
      <c r="G177" t="inlineStr">
        <is>
          <t>ULRICEHAMN</t>
        </is>
      </c>
      <c r="I177" t="n">
        <v>1.7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40345-2025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45895</v>
      </c>
      <c r="E178" s="1" t="n">
        <v>46295</v>
      </c>
      <c r="F178" t="inlineStr">
        <is>
          <t>VÄSTRA GÖTALANDS LÄN</t>
        </is>
      </c>
      <c r="G178" t="inlineStr">
        <is>
          <t>ULRICEHAMN</t>
        </is>
      </c>
      <c r="I178" t="n">
        <v>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52198-2022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44873</v>
      </c>
      <c r="E179" s="1" t="n">
        <v>46295</v>
      </c>
      <c r="F179" t="inlineStr">
        <is>
          <t>VÄSTRA GÖTALANDS LÄN</t>
        </is>
      </c>
      <c r="G179" t="inlineStr">
        <is>
          <t>ULRICEHAMN</t>
        </is>
      </c>
      <c r="I179" t="n">
        <v>2.9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40563-2025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45896</v>
      </c>
      <c r="E180" s="1" t="n">
        <v>46295</v>
      </c>
      <c r="F180" t="inlineStr">
        <is>
          <t>VÄSTRA GÖTALANDS LÄN</t>
        </is>
      </c>
      <c r="G180" t="inlineStr">
        <is>
          <t>ULRICEHAMN</t>
        </is>
      </c>
      <c r="I180" t="n">
        <v>1.6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14817-2022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44656</v>
      </c>
      <c r="E181" s="1" t="n">
        <v>46295</v>
      </c>
      <c r="F181" t="inlineStr">
        <is>
          <t>VÄSTRA GÖTALANDS LÄN</t>
        </is>
      </c>
      <c r="G181" t="inlineStr">
        <is>
          <t>ULRICEHAMN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26377-2025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45806</v>
      </c>
      <c r="E182" s="1" t="n">
        <v>46295</v>
      </c>
      <c r="F182" t="inlineStr">
        <is>
          <t>VÄSTRA GÖTALANDS LÄN</t>
        </is>
      </c>
      <c r="G182" t="inlineStr">
        <is>
          <t>ULRICEHAMN</t>
        </is>
      </c>
      <c r="I182" t="n">
        <v>2.4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26384-2025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45806</v>
      </c>
      <c r="E183" s="1" t="n">
        <v>46295</v>
      </c>
      <c r="F183" t="inlineStr">
        <is>
          <t>VÄSTRA GÖTALANDS LÄN</t>
        </is>
      </c>
      <c r="G183" t="inlineStr">
        <is>
          <t>ULRICEHAMN</t>
        </is>
      </c>
      <c r="I183" t="n">
        <v>0.4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26385-2025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45806</v>
      </c>
      <c r="E184" s="1" t="n">
        <v>46295</v>
      </c>
      <c r="F184" t="inlineStr">
        <is>
          <t>VÄSTRA GÖTALANDS LÄN</t>
        </is>
      </c>
      <c r="G184" t="inlineStr">
        <is>
          <t>ULRICEHAMN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41492-2025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45901</v>
      </c>
      <c r="E185" s="1" t="n">
        <v>46295</v>
      </c>
      <c r="F185" t="inlineStr">
        <is>
          <t>VÄSTRA GÖTALANDS LÄN</t>
        </is>
      </c>
      <c r="G185" t="inlineStr">
        <is>
          <t>ULRICEHAMN</t>
        </is>
      </c>
      <c r="I185" t="n">
        <v>1.9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26376-2025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45806</v>
      </c>
      <c r="E186" s="1" t="n">
        <v>46295</v>
      </c>
      <c r="F186" t="inlineStr">
        <is>
          <t>VÄSTRA GÖTALANDS LÄN</t>
        </is>
      </c>
      <c r="G186" t="inlineStr">
        <is>
          <t>ULRICEHAMN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30912-2024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45498</v>
      </c>
      <c r="E187" s="1" t="n">
        <v>46295</v>
      </c>
      <c r="F187" t="inlineStr">
        <is>
          <t>VÄSTRA GÖTALANDS LÄN</t>
        </is>
      </c>
      <c r="G187" t="inlineStr">
        <is>
          <t>ULRICEHAMN</t>
        </is>
      </c>
      <c r="H187" t="inlineStr">
        <is>
          <t>Kyrkan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59067-2024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45636</v>
      </c>
      <c r="E188" s="1" t="n">
        <v>46295</v>
      </c>
      <c r="F188" t="inlineStr">
        <is>
          <t>VÄSTRA GÖTALANDS LÄN</t>
        </is>
      </c>
      <c r="G188" t="inlineStr">
        <is>
          <t>ULRICEHAMN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26382-2025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45806</v>
      </c>
      <c r="E189" s="1" t="n">
        <v>46295</v>
      </c>
      <c r="F189" t="inlineStr">
        <is>
          <t>VÄSTRA GÖTALANDS LÄN</t>
        </is>
      </c>
      <c r="G189" t="inlineStr">
        <is>
          <t>ULRICEHAMN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26383-2025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45806</v>
      </c>
      <c r="E190" s="1" t="n">
        <v>46295</v>
      </c>
      <c r="F190" t="inlineStr">
        <is>
          <t>VÄSTRA GÖTALANDS LÄN</t>
        </is>
      </c>
      <c r="G190" t="inlineStr">
        <is>
          <t>ULRICEHAMN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19833-2025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45771</v>
      </c>
      <c r="E191" s="1" t="n">
        <v>46295</v>
      </c>
      <c r="F191" t="inlineStr">
        <is>
          <t>VÄSTRA GÖTALANDS LÄN</t>
        </is>
      </c>
      <c r="G191" t="inlineStr">
        <is>
          <t>ULRICEHAMN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56673-2024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45626</v>
      </c>
      <c r="E192" s="1" t="n">
        <v>46295</v>
      </c>
      <c r="F192" t="inlineStr">
        <is>
          <t>VÄSTRA GÖTALANDS LÄN</t>
        </is>
      </c>
      <c r="G192" t="inlineStr">
        <is>
          <t>ULRICEHAMN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27353-2024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45473</v>
      </c>
      <c r="E193" s="1" t="n">
        <v>46295</v>
      </c>
      <c r="F193" t="inlineStr">
        <is>
          <t>VÄSTRA GÖTALANDS LÄN</t>
        </is>
      </c>
      <c r="G193" t="inlineStr">
        <is>
          <t>ULRICEHAMN</t>
        </is>
      </c>
      <c r="I193" t="n">
        <v>5.9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33611-2023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45132</v>
      </c>
      <c r="E194" s="1" t="n">
        <v>46295</v>
      </c>
      <c r="F194" t="inlineStr">
        <is>
          <t>VÄSTRA GÖTALANDS LÄN</t>
        </is>
      </c>
      <c r="G194" t="inlineStr">
        <is>
          <t>ULRICEHAMN</t>
        </is>
      </c>
      <c r="I194" t="n">
        <v>4.3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42580-2025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45905</v>
      </c>
      <c r="E195" s="1" t="n">
        <v>46295</v>
      </c>
      <c r="F195" t="inlineStr">
        <is>
          <t>VÄSTRA GÖTALANDS LÄN</t>
        </is>
      </c>
      <c r="G195" t="inlineStr">
        <is>
          <t>ULRICEHAMN</t>
        </is>
      </c>
      <c r="I195" t="n">
        <v>3.2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43010-2025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45909</v>
      </c>
      <c r="E196" s="1" t="n">
        <v>46295</v>
      </c>
      <c r="F196" t="inlineStr">
        <is>
          <t>VÄSTRA GÖTALANDS LÄN</t>
        </is>
      </c>
      <c r="G196" t="inlineStr">
        <is>
          <t>ULRICEHAMN</t>
        </is>
      </c>
      <c r="I196" t="n">
        <v>1.7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43006-2025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45909</v>
      </c>
      <c r="E197" s="1" t="n">
        <v>46295</v>
      </c>
      <c r="F197" t="inlineStr">
        <is>
          <t>VÄSTRA GÖTALANDS LÄN</t>
        </is>
      </c>
      <c r="G197" t="inlineStr">
        <is>
          <t>ULRICEHAMN</t>
        </is>
      </c>
      <c r="I197" t="n">
        <v>2.5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43009-2025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45909</v>
      </c>
      <c r="E198" s="1" t="n">
        <v>46295</v>
      </c>
      <c r="F198" t="inlineStr">
        <is>
          <t>VÄSTRA GÖTALANDS LÄN</t>
        </is>
      </c>
      <c r="G198" t="inlineStr">
        <is>
          <t>ULRICEHAMN</t>
        </is>
      </c>
      <c r="I198" t="n">
        <v>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27494-2023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45097</v>
      </c>
      <c r="E199" s="1" t="n">
        <v>46295</v>
      </c>
      <c r="F199" t="inlineStr">
        <is>
          <t>VÄSTRA GÖTALANDS LÄN</t>
        </is>
      </c>
      <c r="G199" t="inlineStr">
        <is>
          <t>ULRICEHAMN</t>
        </is>
      </c>
      <c r="I199" t="n">
        <v>3.1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59985-2022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44909</v>
      </c>
      <c r="E200" s="1" t="n">
        <v>46295</v>
      </c>
      <c r="F200" t="inlineStr">
        <is>
          <t>VÄSTRA GÖTALANDS LÄN</t>
        </is>
      </c>
      <c r="G200" t="inlineStr">
        <is>
          <t>ULRICEHAMN</t>
        </is>
      </c>
      <c r="I200" t="n">
        <v>3.3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9751-2024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45362</v>
      </c>
      <c r="E201" s="1" t="n">
        <v>46295</v>
      </c>
      <c r="F201" t="inlineStr">
        <is>
          <t>VÄSTRA GÖTALANDS LÄN</t>
        </is>
      </c>
      <c r="G201" t="inlineStr">
        <is>
          <t>ULRICEHAMN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8444-2024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45354</v>
      </c>
      <c r="E202" s="1" t="n">
        <v>46295</v>
      </c>
      <c r="F202" t="inlineStr">
        <is>
          <t>VÄSTRA GÖTALANDS LÄN</t>
        </is>
      </c>
      <c r="G202" t="inlineStr">
        <is>
          <t>ULRICEHAMN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39845-2024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45553</v>
      </c>
      <c r="E203" s="1" t="n">
        <v>46295</v>
      </c>
      <c r="F203" t="inlineStr">
        <is>
          <t>VÄSTRA GÖTALANDS LÄN</t>
        </is>
      </c>
      <c r="G203" t="inlineStr">
        <is>
          <t>ULRICEHAMN</t>
        </is>
      </c>
      <c r="I203" t="n">
        <v>2.6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39849-2024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45553</v>
      </c>
      <c r="E204" s="1" t="n">
        <v>46295</v>
      </c>
      <c r="F204" t="inlineStr">
        <is>
          <t>VÄSTRA GÖTALANDS LÄN</t>
        </is>
      </c>
      <c r="G204" t="inlineStr">
        <is>
          <t>ULRICEHAMN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49768-2023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45212</v>
      </c>
      <c r="E205" s="1" t="n">
        <v>46295</v>
      </c>
      <c r="F205" t="inlineStr">
        <is>
          <t>VÄSTRA GÖTALANDS LÄN</t>
        </is>
      </c>
      <c r="G205" t="inlineStr">
        <is>
          <t>ULRICEHAMN</t>
        </is>
      </c>
      <c r="I205" t="n">
        <v>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12552-2022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44638</v>
      </c>
      <c r="E206" s="1" t="n">
        <v>46295</v>
      </c>
      <c r="F206" t="inlineStr">
        <is>
          <t>VÄSTRA GÖTALANDS LÄN</t>
        </is>
      </c>
      <c r="G206" t="inlineStr">
        <is>
          <t>ULRICEHAMN</t>
        </is>
      </c>
      <c r="H206" t="inlineStr">
        <is>
          <t>Kommuner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6928-2024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45343</v>
      </c>
      <c r="E207" s="1" t="n">
        <v>46295</v>
      </c>
      <c r="F207" t="inlineStr">
        <is>
          <t>VÄSTRA GÖTALANDS LÄN</t>
        </is>
      </c>
      <c r="G207" t="inlineStr">
        <is>
          <t>ULRICEHAMN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10714-2022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44626</v>
      </c>
      <c r="E208" s="1" t="n">
        <v>46295</v>
      </c>
      <c r="F208" t="inlineStr">
        <is>
          <t>VÄSTRA GÖTALANDS LÄN</t>
        </is>
      </c>
      <c r="G208" t="inlineStr">
        <is>
          <t>ULRICEHAMN</t>
        </is>
      </c>
      <c r="I208" t="n">
        <v>0.9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7532-2024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45348</v>
      </c>
      <c r="E209" s="1" t="n">
        <v>46295</v>
      </c>
      <c r="F209" t="inlineStr">
        <is>
          <t>VÄSTRA GÖTALANDS LÄN</t>
        </is>
      </c>
      <c r="G209" t="inlineStr">
        <is>
          <t>ULRICEHAMN</t>
        </is>
      </c>
      <c r="I209" t="n">
        <v>1.2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29325-2025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45824</v>
      </c>
      <c r="E210" s="1" t="n">
        <v>46295</v>
      </c>
      <c r="F210" t="inlineStr">
        <is>
          <t>VÄSTRA GÖTALANDS LÄN</t>
        </is>
      </c>
      <c r="G210" t="inlineStr">
        <is>
          <t>ULRICEHAMN</t>
        </is>
      </c>
      <c r="I210" t="n">
        <v>14.8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14599-2025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45742</v>
      </c>
      <c r="E211" s="1" t="n">
        <v>46295</v>
      </c>
      <c r="F211" t="inlineStr">
        <is>
          <t>VÄSTRA GÖTALANDS LÄN</t>
        </is>
      </c>
      <c r="G211" t="inlineStr">
        <is>
          <t>ULRICEHAMN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54208-2022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44881</v>
      </c>
      <c r="E212" s="1" t="n">
        <v>46295</v>
      </c>
      <c r="F212" t="inlineStr">
        <is>
          <t>VÄSTRA GÖTALANDS LÄN</t>
        </is>
      </c>
      <c r="G212" t="inlineStr">
        <is>
          <t>ULRICEHAMN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7346-2023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44971</v>
      </c>
      <c r="E213" s="1" t="n">
        <v>46295</v>
      </c>
      <c r="F213" t="inlineStr">
        <is>
          <t>VÄSTRA GÖTALANDS LÄN</t>
        </is>
      </c>
      <c r="G213" t="inlineStr">
        <is>
          <t>ULRICEHAMN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61908-2021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44501</v>
      </c>
      <c r="E214" s="1" t="n">
        <v>46295</v>
      </c>
      <c r="F214" t="inlineStr">
        <is>
          <t>VÄSTRA GÖTALANDS LÄN</t>
        </is>
      </c>
      <c r="G214" t="inlineStr">
        <is>
          <t>ULRICEHAMN</t>
        </is>
      </c>
      <c r="I214" t="n">
        <v>10.1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16577-2022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44672</v>
      </c>
      <c r="E215" s="1" t="n">
        <v>46295</v>
      </c>
      <c r="F215" t="inlineStr">
        <is>
          <t>VÄSTRA GÖTALANDS LÄN</t>
        </is>
      </c>
      <c r="G215" t="inlineStr">
        <is>
          <t>ULRICEHAMN</t>
        </is>
      </c>
      <c r="I215" t="n">
        <v>1.4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29924-2025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45826</v>
      </c>
      <c r="E216" s="1" t="n">
        <v>46295</v>
      </c>
      <c r="F216" t="inlineStr">
        <is>
          <t>VÄSTRA GÖTALANDS LÄN</t>
        </is>
      </c>
      <c r="G216" t="inlineStr">
        <is>
          <t>ULRICEHAMN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10270-2025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45720</v>
      </c>
      <c r="E217" s="1" t="n">
        <v>46295</v>
      </c>
      <c r="F217" t="inlineStr">
        <is>
          <t>VÄSTRA GÖTALANDS LÄN</t>
        </is>
      </c>
      <c r="G217" t="inlineStr">
        <is>
          <t>ULRICEHAMN</t>
        </is>
      </c>
      <c r="I217" t="n">
        <v>1.4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14952-2025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45743</v>
      </c>
      <c r="E218" s="1" t="n">
        <v>46295</v>
      </c>
      <c r="F218" t="inlineStr">
        <is>
          <t>VÄSTRA GÖTALANDS LÄN</t>
        </is>
      </c>
      <c r="G218" t="inlineStr">
        <is>
          <t>ULRICEHAMN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44913-2025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45918</v>
      </c>
      <c r="E219" s="1" t="n">
        <v>46295</v>
      </c>
      <c r="F219" t="inlineStr">
        <is>
          <t>VÄSTRA GÖTALANDS LÄN</t>
        </is>
      </c>
      <c r="G219" t="inlineStr">
        <is>
          <t>ULRICEHAMN</t>
        </is>
      </c>
      <c r="I219" t="n">
        <v>4.2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12438-2025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45730</v>
      </c>
      <c r="E220" s="1" t="n">
        <v>46295</v>
      </c>
      <c r="F220" t="inlineStr">
        <is>
          <t>VÄSTRA GÖTALANDS LÄN</t>
        </is>
      </c>
      <c r="G220" t="inlineStr">
        <is>
          <t>ULRICEHAMN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11629-2025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45727</v>
      </c>
      <c r="E221" s="1" t="n">
        <v>46295</v>
      </c>
      <c r="F221" t="inlineStr">
        <is>
          <t>VÄSTRA GÖTALANDS LÄN</t>
        </is>
      </c>
      <c r="G221" t="inlineStr">
        <is>
          <t>ULRICEHAMN</t>
        </is>
      </c>
      <c r="I221" t="n">
        <v>3.4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11640-2025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45727</v>
      </c>
      <c r="E222" s="1" t="n">
        <v>46295</v>
      </c>
      <c r="F222" t="inlineStr">
        <is>
          <t>VÄSTRA GÖTALANDS LÄN</t>
        </is>
      </c>
      <c r="G222" t="inlineStr">
        <is>
          <t>ULRICEHAMN</t>
        </is>
      </c>
      <c r="I222" t="n">
        <v>5.4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45637-2025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45922</v>
      </c>
      <c r="E223" s="1" t="n">
        <v>46295</v>
      </c>
      <c r="F223" t="inlineStr">
        <is>
          <t>VÄSTRA GÖTALANDS LÄN</t>
        </is>
      </c>
      <c r="G223" t="inlineStr">
        <is>
          <t>ULRICEHAMN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45638-2025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45922</v>
      </c>
      <c r="E224" s="1" t="n">
        <v>46295</v>
      </c>
      <c r="F224" t="inlineStr">
        <is>
          <t>VÄSTRA GÖTALANDS LÄN</t>
        </is>
      </c>
      <c r="G224" t="inlineStr">
        <is>
          <t>ULRICEHAMN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45751-2025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45923</v>
      </c>
      <c r="E225" s="1" t="n">
        <v>46295</v>
      </c>
      <c r="F225" t="inlineStr">
        <is>
          <t>VÄSTRA GÖTALANDS LÄN</t>
        </is>
      </c>
      <c r="G225" t="inlineStr">
        <is>
          <t>ULRICEHAMN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18201-2023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45041</v>
      </c>
      <c r="E226" s="1" t="n">
        <v>46295</v>
      </c>
      <c r="F226" t="inlineStr">
        <is>
          <t>VÄSTRA GÖTALANDS LÄN</t>
        </is>
      </c>
      <c r="G226" t="inlineStr">
        <is>
          <t>ULRICEHAMN</t>
        </is>
      </c>
      <c r="I226" t="n">
        <v>2.2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46041</v>
      </c>
      <c r="E227" s="1" t="n">
        <v>46295</v>
      </c>
      <c r="F227" t="inlineStr">
        <is>
          <t>VÄSTRA GÖTALANDS LÄN</t>
        </is>
      </c>
      <c r="G227" t="inlineStr">
        <is>
          <t>ULRICEHAMN</t>
        </is>
      </c>
      <c r="I227" t="n">
        <v>2.8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46532-2025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45926</v>
      </c>
      <c r="E228" s="1" t="n">
        <v>46295</v>
      </c>
      <c r="F228" t="inlineStr">
        <is>
          <t>VÄSTRA GÖTALANDS LÄN</t>
        </is>
      </c>
      <c r="G228" t="inlineStr">
        <is>
          <t>ULRICEHAMN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31621-2025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45833</v>
      </c>
      <c r="E229" s="1" t="n">
        <v>46295</v>
      </c>
      <c r="F229" t="inlineStr">
        <is>
          <t>VÄSTRA GÖTALANDS LÄN</t>
        </is>
      </c>
      <c r="G229" t="inlineStr">
        <is>
          <t>ULRICEHAMN</t>
        </is>
      </c>
      <c r="I229" t="n">
        <v>0.6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31615-2025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45833</v>
      </c>
      <c r="E230" s="1" t="n">
        <v>46295</v>
      </c>
      <c r="F230" t="inlineStr">
        <is>
          <t>VÄSTRA GÖTALANDS LÄN</t>
        </is>
      </c>
      <c r="G230" t="inlineStr">
        <is>
          <t>ULRICEHAMN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32508-2025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45838</v>
      </c>
      <c r="E231" s="1" t="n">
        <v>46295</v>
      </c>
      <c r="F231" t="inlineStr">
        <is>
          <t>VÄSTRA GÖTALANDS LÄN</t>
        </is>
      </c>
      <c r="G231" t="inlineStr">
        <is>
          <t>ULRICEHAMN</t>
        </is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32208-2025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45835</v>
      </c>
      <c r="E232" s="1" t="n">
        <v>46295</v>
      </c>
      <c r="F232" t="inlineStr">
        <is>
          <t>VÄSTRA GÖTALANDS LÄN</t>
        </is>
      </c>
      <c r="G232" t="inlineStr">
        <is>
          <t>ULRICEHAMN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32211-2025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45835</v>
      </c>
      <c r="E233" s="1" t="n">
        <v>46295</v>
      </c>
      <c r="F233" t="inlineStr">
        <is>
          <t>VÄSTRA GÖTALANDS LÄN</t>
        </is>
      </c>
      <c r="G233" t="inlineStr">
        <is>
          <t>ULRICEHAMN</t>
        </is>
      </c>
      <c r="I233" t="n">
        <v>0.6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32214-2025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45835</v>
      </c>
      <c r="E234" s="1" t="n">
        <v>46295</v>
      </c>
      <c r="F234" t="inlineStr">
        <is>
          <t>VÄSTRA GÖTALANDS LÄN</t>
        </is>
      </c>
      <c r="G234" t="inlineStr">
        <is>
          <t>ULRICEHAMN</t>
        </is>
      </c>
      <c r="I234" t="n">
        <v>3.8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32597-2025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45838</v>
      </c>
      <c r="E235" s="1" t="n">
        <v>46295</v>
      </c>
      <c r="F235" t="inlineStr">
        <is>
          <t>VÄSTRA GÖTALANDS LÄN</t>
        </is>
      </c>
      <c r="G235" t="inlineStr">
        <is>
          <t>ULRICEHAMN</t>
        </is>
      </c>
      <c r="H235" t="inlineStr">
        <is>
          <t>Sveaskog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46534-2025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45926</v>
      </c>
      <c r="E236" s="1" t="n">
        <v>46295</v>
      </c>
      <c r="F236" t="inlineStr">
        <is>
          <t>VÄSTRA GÖTALANDS LÄN</t>
        </is>
      </c>
      <c r="G236" t="inlineStr">
        <is>
          <t>ULRICEHAMN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32294-2025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45835</v>
      </c>
      <c r="E237" s="1" t="n">
        <v>46295</v>
      </c>
      <c r="F237" t="inlineStr">
        <is>
          <t>VÄSTRA GÖTALANDS LÄN</t>
        </is>
      </c>
      <c r="G237" t="inlineStr">
        <is>
          <t>ULRICEHAMN</t>
        </is>
      </c>
      <c r="I237" t="n">
        <v>2.5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32512-2025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46295</v>
      </c>
      <c r="F238" t="inlineStr">
        <is>
          <t>VÄSTRA GÖTALANDS LÄN</t>
        </is>
      </c>
      <c r="G238" t="inlineStr">
        <is>
          <t>ULRICEHAMN</t>
        </is>
      </c>
      <c r="I238" t="n">
        <v>2.5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32293-2025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45835</v>
      </c>
      <c r="E239" s="1" t="n">
        <v>46295</v>
      </c>
      <c r="F239" t="inlineStr">
        <is>
          <t>VÄSTRA GÖTALANDS LÄN</t>
        </is>
      </c>
      <c r="G239" t="inlineStr">
        <is>
          <t>ULRICEHAMN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32621-2025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45838</v>
      </c>
      <c r="E240" s="1" t="n">
        <v>46295</v>
      </c>
      <c r="F240" t="inlineStr">
        <is>
          <t>VÄSTRA GÖTALANDS LÄN</t>
        </is>
      </c>
      <c r="G240" t="inlineStr">
        <is>
          <t>ULRICEHAMN</t>
        </is>
      </c>
      <c r="H240" t="inlineStr">
        <is>
          <t>Sveaskog</t>
        </is>
      </c>
      <c r="I240" t="n">
        <v>2.7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32610-2025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45838</v>
      </c>
      <c r="E241" s="1" t="n">
        <v>46295</v>
      </c>
      <c r="F241" t="inlineStr">
        <is>
          <t>VÄSTRA GÖTALANDS LÄN</t>
        </is>
      </c>
      <c r="G241" t="inlineStr">
        <is>
          <t>ULRICEHAMN</t>
        </is>
      </c>
      <c r="H241" t="inlineStr">
        <is>
          <t>Sveaskog</t>
        </is>
      </c>
      <c r="I241" t="n">
        <v>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32602-2025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45838</v>
      </c>
      <c r="E242" s="1" t="n">
        <v>46295</v>
      </c>
      <c r="F242" t="inlineStr">
        <is>
          <t>VÄSTRA GÖTALANDS LÄN</t>
        </is>
      </c>
      <c r="G242" t="inlineStr">
        <is>
          <t>ULRICEHAMN</t>
        </is>
      </c>
      <c r="H242" t="inlineStr">
        <is>
          <t>Sveaskog</t>
        </is>
      </c>
      <c r="I242" t="n">
        <v>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32612-2025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45838</v>
      </c>
      <c r="E243" s="1" t="n">
        <v>46295</v>
      </c>
      <c r="F243" t="inlineStr">
        <is>
          <t>VÄSTRA GÖTALANDS LÄN</t>
        </is>
      </c>
      <c r="G243" t="inlineStr">
        <is>
          <t>ULRICEHAMN</t>
        </is>
      </c>
      <c r="H243" t="inlineStr">
        <is>
          <t>Sveaskog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44402-2024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45573</v>
      </c>
      <c r="E244" s="1" t="n">
        <v>46295</v>
      </c>
      <c r="F244" t="inlineStr">
        <is>
          <t>VÄSTRA GÖTALANDS LÄN</t>
        </is>
      </c>
      <c r="G244" t="inlineStr">
        <is>
          <t>ULRICEHAMN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13061-2024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45385</v>
      </c>
      <c r="E245" s="1" t="n">
        <v>46295</v>
      </c>
      <c r="F245" t="inlineStr">
        <is>
          <t>VÄSTRA GÖTALANDS LÄN</t>
        </is>
      </c>
      <c r="G245" t="inlineStr">
        <is>
          <t>ULRICEHAMN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33631-2025</t>
        </is>
      </c>
      <c r="B246" t="inlineStr">
        <is>
          <t>avverkningsanmälan</t>
        </is>
      </c>
      <c r="C246" t="inlineStr">
        <is>
          <t>Avverkning för annat ändamål</t>
        </is>
      </c>
      <c r="D246" s="1" t="n">
        <v>45841</v>
      </c>
      <c r="E246" s="1" t="n">
        <v>46295</v>
      </c>
      <c r="F246" t="inlineStr">
        <is>
          <t>VÄSTRA GÖTALANDS LÄN</t>
        </is>
      </c>
      <c r="G246" t="inlineStr">
        <is>
          <t>ULRICEHAMN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33618-2025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45841</v>
      </c>
      <c r="E247" s="1" t="n">
        <v>46295</v>
      </c>
      <c r="F247" t="inlineStr">
        <is>
          <t>VÄSTRA GÖTALANDS LÄN</t>
        </is>
      </c>
      <c r="G247" t="inlineStr">
        <is>
          <t>ULRICEHAMN</t>
        </is>
      </c>
      <c r="I247" t="n">
        <v>16.7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48358-2025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45933</v>
      </c>
      <c r="E248" s="1" t="n">
        <v>46295</v>
      </c>
      <c r="F248" t="inlineStr">
        <is>
          <t>VÄSTRA GÖTALANDS LÄN</t>
        </is>
      </c>
      <c r="G248" t="inlineStr">
        <is>
          <t>ULRICEHAMN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48405-2025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45934</v>
      </c>
      <c r="E249" s="1" t="n">
        <v>46295</v>
      </c>
      <c r="F249" t="inlineStr">
        <is>
          <t>VÄSTRA GÖTALANDS LÄN</t>
        </is>
      </c>
      <c r="G249" t="inlineStr">
        <is>
          <t>ULRICEHAMN</t>
        </is>
      </c>
      <c r="I249" t="n">
        <v>2.8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48411-2025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45934</v>
      </c>
      <c r="E250" s="1" t="n">
        <v>46295</v>
      </c>
      <c r="F250" t="inlineStr">
        <is>
          <t>VÄSTRA GÖTALANDS LÄN</t>
        </is>
      </c>
      <c r="G250" t="inlineStr">
        <is>
          <t>ULRICEHAMN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48416-2025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45934</v>
      </c>
      <c r="E251" s="1" t="n">
        <v>46295</v>
      </c>
      <c r="F251" t="inlineStr">
        <is>
          <t>VÄSTRA GÖTALANDS LÄN</t>
        </is>
      </c>
      <c r="G251" t="inlineStr">
        <is>
          <t>ULRICEHAMN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34282-2025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45846</v>
      </c>
      <c r="E252" s="1" t="n">
        <v>46295</v>
      </c>
      <c r="F252" t="inlineStr">
        <is>
          <t>VÄSTRA GÖTALANDS LÄN</t>
        </is>
      </c>
      <c r="G252" t="inlineStr">
        <is>
          <t>ULRICEHAMN</t>
        </is>
      </c>
      <c r="I252" t="n">
        <v>0.9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4274-2024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45324</v>
      </c>
      <c r="E253" s="1" t="n">
        <v>46295</v>
      </c>
      <c r="F253" t="inlineStr">
        <is>
          <t>VÄSTRA GÖTALANDS LÄN</t>
        </is>
      </c>
      <c r="G253" t="inlineStr">
        <is>
          <t>ULRICEHAMN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4282-2024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45324</v>
      </c>
      <c r="E254" s="1" t="n">
        <v>46295</v>
      </c>
      <c r="F254" t="inlineStr">
        <is>
          <t>VÄSTRA GÖTALANDS LÄN</t>
        </is>
      </c>
      <c r="G254" t="inlineStr">
        <is>
          <t>ULRICEHAMN</t>
        </is>
      </c>
      <c r="H254" t="inlineStr">
        <is>
          <t>Kyrkan</t>
        </is>
      </c>
      <c r="I254" t="n">
        <v>1.2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7094-2024</t>
        </is>
      </c>
      <c r="B255" t="inlineStr">
        <is>
          <t>avverkningsanmälan</t>
        </is>
      </c>
      <c r="C255" t="inlineStr">
        <is>
          <t>Avverkning för annat ändamål</t>
        </is>
      </c>
      <c r="D255" s="1" t="n">
        <v>45343</v>
      </c>
      <c r="E255" s="1" t="n">
        <v>46295</v>
      </c>
      <c r="F255" t="inlineStr">
        <is>
          <t>VÄSTRA GÖTALANDS LÄN</t>
        </is>
      </c>
      <c r="G255" t="inlineStr">
        <is>
          <t>ULRICEHAMN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48346-2025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45933</v>
      </c>
      <c r="E256" s="1" t="n">
        <v>46295</v>
      </c>
      <c r="F256" t="inlineStr">
        <is>
          <t>VÄSTRA GÖTALANDS LÄN</t>
        </is>
      </c>
      <c r="G256" t="inlineStr">
        <is>
          <t>ULRICEHAMN</t>
        </is>
      </c>
      <c r="I256" t="n">
        <v>2.7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48407-2025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45934</v>
      </c>
      <c r="E257" s="1" t="n">
        <v>46295</v>
      </c>
      <c r="F257" t="inlineStr">
        <is>
          <t>VÄSTRA GÖTALANDS LÄN</t>
        </is>
      </c>
      <c r="G257" t="inlineStr">
        <is>
          <t>ULRICEHAMN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38730-2024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45547</v>
      </c>
      <c r="E258" s="1" t="n">
        <v>46295</v>
      </c>
      <c r="F258" t="inlineStr">
        <is>
          <t>VÄSTRA GÖTALANDS LÄN</t>
        </is>
      </c>
      <c r="G258" t="inlineStr">
        <is>
          <t>ULRICEHAMN</t>
        </is>
      </c>
      <c r="H258" t="inlineStr">
        <is>
          <t>Sveaskog</t>
        </is>
      </c>
      <c r="I258" t="n">
        <v>0.6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38733-2024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46295</v>
      </c>
      <c r="F259" t="inlineStr">
        <is>
          <t>VÄSTRA GÖTALANDS LÄN</t>
        </is>
      </c>
      <c r="G259" t="inlineStr">
        <is>
          <t>ULRICEHAMN</t>
        </is>
      </c>
      <c r="H259" t="inlineStr">
        <is>
          <t>Sveaskog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38734-2024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45547</v>
      </c>
      <c r="E260" s="1" t="n">
        <v>46295</v>
      </c>
      <c r="F260" t="inlineStr">
        <is>
          <t>VÄSTRA GÖTALANDS LÄN</t>
        </is>
      </c>
      <c r="G260" t="inlineStr">
        <is>
          <t>ULRICEHAMN</t>
        </is>
      </c>
      <c r="H260" t="inlineStr">
        <is>
          <t>Sveaskog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2946-2023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44945</v>
      </c>
      <c r="E261" s="1" t="n">
        <v>46295</v>
      </c>
      <c r="F261" t="inlineStr">
        <is>
          <t>VÄSTRA GÖTALANDS LÄN</t>
        </is>
      </c>
      <c r="G261" t="inlineStr">
        <is>
          <t>ULRICEHAMN</t>
        </is>
      </c>
      <c r="I261" t="n">
        <v>2.8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48918-2025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45937</v>
      </c>
      <c r="E262" s="1" t="n">
        <v>46295</v>
      </c>
      <c r="F262" t="inlineStr">
        <is>
          <t>VÄSTRA GÖTALANDS LÄN</t>
        </is>
      </c>
      <c r="G262" t="inlineStr">
        <is>
          <t>ULRICEHAMN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49310-2025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45938</v>
      </c>
      <c r="E263" s="1" t="n">
        <v>46295</v>
      </c>
      <c r="F263" t="inlineStr">
        <is>
          <t>VÄSTRA GÖTALANDS LÄN</t>
        </is>
      </c>
      <c r="G263" t="inlineStr">
        <is>
          <t>ULRICEHAMN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49316-2025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45938</v>
      </c>
      <c r="E264" s="1" t="n">
        <v>46295</v>
      </c>
      <c r="F264" t="inlineStr">
        <is>
          <t>VÄSTRA GÖTALANDS LÄN</t>
        </is>
      </c>
      <c r="G264" t="inlineStr">
        <is>
          <t>ULRICEHAMN</t>
        </is>
      </c>
      <c r="I264" t="n">
        <v>1.7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21918-2025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45784</v>
      </c>
      <c r="E265" s="1" t="n">
        <v>46295</v>
      </c>
      <c r="F265" t="inlineStr">
        <is>
          <t>VÄSTRA GÖTALANDS LÄN</t>
        </is>
      </c>
      <c r="G265" t="inlineStr">
        <is>
          <t>ULRICEHAMN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15727-2022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44663</v>
      </c>
      <c r="E266" s="1" t="n">
        <v>46295</v>
      </c>
      <c r="F266" t="inlineStr">
        <is>
          <t>VÄSTRA GÖTALANDS LÄN</t>
        </is>
      </c>
      <c r="G266" t="inlineStr">
        <is>
          <t>ULRICEHAMN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24041-2022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44724</v>
      </c>
      <c r="E267" s="1" t="n">
        <v>46295</v>
      </c>
      <c r="F267" t="inlineStr">
        <is>
          <t>VÄSTRA GÖTALANDS LÄN</t>
        </is>
      </c>
      <c r="G267" t="inlineStr">
        <is>
          <t>ULRICEHAMN</t>
        </is>
      </c>
      <c r="I267" t="n">
        <v>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56775-2023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45244</v>
      </c>
      <c r="E268" s="1" t="n">
        <v>46295</v>
      </c>
      <c r="F268" t="inlineStr">
        <is>
          <t>VÄSTRA GÖTALANDS LÄN</t>
        </is>
      </c>
      <c r="G268" t="inlineStr">
        <is>
          <t>ULRICEHAMN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49531-2025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45939</v>
      </c>
      <c r="E269" s="1" t="n">
        <v>46295</v>
      </c>
      <c r="F269" t="inlineStr">
        <is>
          <t>VÄSTRA GÖTALANDS LÄN</t>
        </is>
      </c>
      <c r="G269" t="inlineStr">
        <is>
          <t>ULRICEHAMN</t>
        </is>
      </c>
      <c r="I269" t="n">
        <v>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397-2025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45663</v>
      </c>
      <c r="E270" s="1" t="n">
        <v>46295</v>
      </c>
      <c r="F270" t="inlineStr">
        <is>
          <t>VÄSTRA GÖTALANDS LÄN</t>
        </is>
      </c>
      <c r="G270" t="inlineStr">
        <is>
          <t>ULRICEHAMN</t>
        </is>
      </c>
      <c r="I270" t="n">
        <v>5.4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5137-2025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45691</v>
      </c>
      <c r="E271" s="1" t="n">
        <v>46295</v>
      </c>
      <c r="F271" t="inlineStr">
        <is>
          <t>VÄSTRA GÖTALANDS LÄN</t>
        </is>
      </c>
      <c r="G271" t="inlineStr">
        <is>
          <t>ULRICEHAMN</t>
        </is>
      </c>
      <c r="I271" t="n">
        <v>0.8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4793-2026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46048</v>
      </c>
      <c r="E272" s="1" t="n">
        <v>46295</v>
      </c>
      <c r="F272" t="inlineStr">
        <is>
          <t>VÄSTRA GÖTALANDS LÄN</t>
        </is>
      </c>
      <c r="G272" t="inlineStr">
        <is>
          <t>ULRICEHAMN</t>
        </is>
      </c>
      <c r="I272" t="n">
        <v>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35546-2025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45856</v>
      </c>
      <c r="E273" s="1" t="n">
        <v>46295</v>
      </c>
      <c r="F273" t="inlineStr">
        <is>
          <t>VÄSTRA GÖTALANDS LÄN</t>
        </is>
      </c>
      <c r="G273" t="inlineStr">
        <is>
          <t>ULRICEHAMN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50062-2024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45600</v>
      </c>
      <c r="E274" s="1" t="n">
        <v>46295</v>
      </c>
      <c r="F274" t="inlineStr">
        <is>
          <t>VÄSTRA GÖTALANDS LÄN</t>
        </is>
      </c>
      <c r="G274" t="inlineStr">
        <is>
          <t>ULRICEHAMN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41108-2025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45898</v>
      </c>
      <c r="E275" s="1" t="n">
        <v>46295</v>
      </c>
      <c r="F275" t="inlineStr">
        <is>
          <t>VÄSTRA GÖTALANDS LÄN</t>
        </is>
      </c>
      <c r="G275" t="inlineStr">
        <is>
          <t>ULRICEHAMN</t>
        </is>
      </c>
      <c r="H275" t="inlineStr">
        <is>
          <t>Sveaskog</t>
        </is>
      </c>
      <c r="I275" t="n">
        <v>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49466-2025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45939</v>
      </c>
      <c r="E276" s="1" t="n">
        <v>46295</v>
      </c>
      <c r="F276" t="inlineStr">
        <is>
          <t>VÄSTRA GÖTALANDS LÄN</t>
        </is>
      </c>
      <c r="G276" t="inlineStr">
        <is>
          <t>ULRICEHAMN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49485-2025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45939</v>
      </c>
      <c r="E277" s="1" t="n">
        <v>46295</v>
      </c>
      <c r="F277" t="inlineStr">
        <is>
          <t>VÄSTRA GÖTALANDS LÄN</t>
        </is>
      </c>
      <c r="G277" t="inlineStr">
        <is>
          <t>ULRICEHAMN</t>
        </is>
      </c>
      <c r="I277" t="n">
        <v>4.8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35872-2025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45862</v>
      </c>
      <c r="E278" s="1" t="n">
        <v>46295</v>
      </c>
      <c r="F278" t="inlineStr">
        <is>
          <t>VÄSTRA GÖTALANDS LÄN</t>
        </is>
      </c>
      <c r="G278" t="inlineStr">
        <is>
          <t>ULRICEHAMN</t>
        </is>
      </c>
      <c r="I278" t="n">
        <v>3.5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52681-2023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45225</v>
      </c>
      <c r="E279" s="1" t="n">
        <v>46295</v>
      </c>
      <c r="F279" t="inlineStr">
        <is>
          <t>VÄSTRA GÖTALANDS LÄN</t>
        </is>
      </c>
      <c r="G279" t="inlineStr">
        <is>
          <t>ULRICEHAMN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22304-2023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45070</v>
      </c>
      <c r="E280" s="1" t="n">
        <v>46295</v>
      </c>
      <c r="F280" t="inlineStr">
        <is>
          <t>VÄSTRA GÖTALANDS LÄN</t>
        </is>
      </c>
      <c r="G280" t="inlineStr">
        <is>
          <t>ULRICEHAMN</t>
        </is>
      </c>
      <c r="I280" t="n">
        <v>4.5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36080-2025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45866</v>
      </c>
      <c r="E281" s="1" t="n">
        <v>46295</v>
      </c>
      <c r="F281" t="inlineStr">
        <is>
          <t>VÄSTRA GÖTALANDS LÄN</t>
        </is>
      </c>
      <c r="G281" t="inlineStr">
        <is>
          <t>ULRICEHAMN</t>
        </is>
      </c>
      <c r="I281" t="n">
        <v>5.5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36067-2025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45866</v>
      </c>
      <c r="E282" s="1" t="n">
        <v>46295</v>
      </c>
      <c r="F282" t="inlineStr">
        <is>
          <t>VÄSTRA GÖTALANDS LÄN</t>
        </is>
      </c>
      <c r="G282" t="inlineStr">
        <is>
          <t>ULRICEHAMN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36305-2025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45868</v>
      </c>
      <c r="E283" s="1" t="n">
        <v>46295</v>
      </c>
      <c r="F283" t="inlineStr">
        <is>
          <t>VÄSTRA GÖTALANDS LÄN</t>
        </is>
      </c>
      <c r="G283" t="inlineStr">
        <is>
          <t>ULRICEHAMN</t>
        </is>
      </c>
      <c r="I283" t="n">
        <v>6.1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4838-2026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46048</v>
      </c>
      <c r="E284" s="1" t="n">
        <v>46295</v>
      </c>
      <c r="F284" t="inlineStr">
        <is>
          <t>VÄSTRA GÖTALANDS LÄN</t>
        </is>
      </c>
      <c r="G284" t="inlineStr">
        <is>
          <t>ULRICEHAMN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5317-2023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44959</v>
      </c>
      <c r="E285" s="1" t="n">
        <v>46295</v>
      </c>
      <c r="F285" t="inlineStr">
        <is>
          <t>VÄSTRA GÖTALANDS LÄN</t>
        </is>
      </c>
      <c r="G285" t="inlineStr">
        <is>
          <t>ULRICEHAMN</t>
        </is>
      </c>
      <c r="I285" t="n">
        <v>6.7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5327-2023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44959</v>
      </c>
      <c r="E286" s="1" t="n">
        <v>46295</v>
      </c>
      <c r="F286" t="inlineStr">
        <is>
          <t>VÄSTRA GÖTALANDS LÄN</t>
        </is>
      </c>
      <c r="G286" t="inlineStr">
        <is>
          <t>ULRICEHAMN</t>
        </is>
      </c>
      <c r="I286" t="n">
        <v>1.8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5328-2023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44959</v>
      </c>
      <c r="E287" s="1" t="n">
        <v>46295</v>
      </c>
      <c r="F287" t="inlineStr">
        <is>
          <t>VÄSTRA GÖTALANDS LÄN</t>
        </is>
      </c>
      <c r="G287" t="inlineStr">
        <is>
          <t>ULRICEHAMN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4959-2026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46049</v>
      </c>
      <c r="E288" s="1" t="n">
        <v>46295</v>
      </c>
      <c r="F288" t="inlineStr">
        <is>
          <t>VÄSTRA GÖTALANDS LÄN</t>
        </is>
      </c>
      <c r="G288" t="inlineStr">
        <is>
          <t>ULRICEHAMN</t>
        </is>
      </c>
      <c r="I288" t="n">
        <v>2.1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51095-2025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45947</v>
      </c>
      <c r="E289" s="1" t="n">
        <v>46295</v>
      </c>
      <c r="F289" t="inlineStr">
        <is>
          <t>VÄSTRA GÖTALANDS LÄN</t>
        </is>
      </c>
      <c r="G289" t="inlineStr">
        <is>
          <t>ULRICEHAMN</t>
        </is>
      </c>
      <c r="I289" t="n">
        <v>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51683-2025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45951</v>
      </c>
      <c r="E290" s="1" t="n">
        <v>46295</v>
      </c>
      <c r="F290" t="inlineStr">
        <is>
          <t>VÄSTRA GÖTALANDS LÄN</t>
        </is>
      </c>
      <c r="G290" t="inlineStr">
        <is>
          <t>ULRICEHAMN</t>
        </is>
      </c>
      <c r="I290" t="n">
        <v>1.6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18920-2024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45427</v>
      </c>
      <c r="E291" s="1" t="n">
        <v>46295</v>
      </c>
      <c r="F291" t="inlineStr">
        <is>
          <t>VÄSTRA GÖTALANDS LÄN</t>
        </is>
      </c>
      <c r="G291" t="inlineStr">
        <is>
          <t>ULRICEHAMN</t>
        </is>
      </c>
      <c r="I291" t="n">
        <v>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51682-2025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45951</v>
      </c>
      <c r="E292" s="1" t="n">
        <v>46295</v>
      </c>
      <c r="F292" t="inlineStr">
        <is>
          <t>VÄSTRA GÖTALANDS LÄN</t>
        </is>
      </c>
      <c r="G292" t="inlineStr">
        <is>
          <t>ULRICEHAMN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39839-2024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45553</v>
      </c>
      <c r="E293" s="1" t="n">
        <v>46295</v>
      </c>
      <c r="F293" t="inlineStr">
        <is>
          <t>VÄSTRA GÖTALANDS LÄN</t>
        </is>
      </c>
      <c r="G293" t="inlineStr">
        <is>
          <t>ULRICEHAMN</t>
        </is>
      </c>
      <c r="I293" t="n">
        <v>1.7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26350-2022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44735</v>
      </c>
      <c r="E294" s="1" t="n">
        <v>46295</v>
      </c>
      <c r="F294" t="inlineStr">
        <is>
          <t>VÄSTRA GÖTALANDS LÄN</t>
        </is>
      </c>
      <c r="G294" t="inlineStr">
        <is>
          <t>ULRICEHAMN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22427-2023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45070</v>
      </c>
      <c r="E295" s="1" t="n">
        <v>46295</v>
      </c>
      <c r="F295" t="inlineStr">
        <is>
          <t>VÄSTRA GÖTALANDS LÄN</t>
        </is>
      </c>
      <c r="G295" t="inlineStr">
        <is>
          <t>ULRICEHAMN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60562-2022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44911</v>
      </c>
      <c r="E296" s="1" t="n">
        <v>46295</v>
      </c>
      <c r="F296" t="inlineStr">
        <is>
          <t>VÄSTRA GÖTALANDS LÄN</t>
        </is>
      </c>
      <c r="G296" t="inlineStr">
        <is>
          <t>ULRICEHAMN</t>
        </is>
      </c>
      <c r="I296" t="n">
        <v>1.4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16949-2024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45411</v>
      </c>
      <c r="E297" s="1" t="n">
        <v>46295</v>
      </c>
      <c r="F297" t="inlineStr">
        <is>
          <t>VÄSTRA GÖTALANDS LÄN</t>
        </is>
      </c>
      <c r="G297" t="inlineStr">
        <is>
          <t>ULRICEHAMN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37560-2025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45880</v>
      </c>
      <c r="E298" s="1" t="n">
        <v>46295</v>
      </c>
      <c r="F298" t="inlineStr">
        <is>
          <t>VÄSTRA GÖTALANDS LÄN</t>
        </is>
      </c>
      <c r="G298" t="inlineStr">
        <is>
          <t>ULRICEHAMN</t>
        </is>
      </c>
      <c r="I298" t="n">
        <v>2.3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6193-2026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46055</v>
      </c>
      <c r="E299" s="1" t="n">
        <v>46295</v>
      </c>
      <c r="F299" t="inlineStr">
        <is>
          <t>VÄSTRA GÖTALANDS LÄN</t>
        </is>
      </c>
      <c r="G299" t="inlineStr">
        <is>
          <t>ULRICEHAMN</t>
        </is>
      </c>
      <c r="I299" t="n">
        <v>5.6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52536-2025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45954</v>
      </c>
      <c r="E300" s="1" t="n">
        <v>46295</v>
      </c>
      <c r="F300" t="inlineStr">
        <is>
          <t>VÄSTRA GÖTALANDS LÄN</t>
        </is>
      </c>
      <c r="G300" t="inlineStr">
        <is>
          <t>ULRICEHAMN</t>
        </is>
      </c>
      <c r="I300" t="n">
        <v>2.5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42544-2022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44831</v>
      </c>
      <c r="E301" s="1" t="n">
        <v>46295</v>
      </c>
      <c r="F301" t="inlineStr">
        <is>
          <t>VÄSTRA GÖTALANDS LÄN</t>
        </is>
      </c>
      <c r="G301" t="inlineStr">
        <is>
          <t>ULRICEHAMN</t>
        </is>
      </c>
      <c r="I301" t="n">
        <v>3.2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52554-2025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45954</v>
      </c>
      <c r="E302" s="1" t="n">
        <v>46295</v>
      </c>
      <c r="F302" t="inlineStr">
        <is>
          <t>VÄSTRA GÖTALANDS LÄN</t>
        </is>
      </c>
      <c r="G302" t="inlineStr">
        <is>
          <t>ULRICEHAMN</t>
        </is>
      </c>
      <c r="H302" t="inlineStr">
        <is>
          <t>Sveaskog</t>
        </is>
      </c>
      <c r="I302" t="n">
        <v>20.3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59885-2022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44908</v>
      </c>
      <c r="E303" s="1" t="n">
        <v>46295</v>
      </c>
      <c r="F303" t="inlineStr">
        <is>
          <t>VÄSTRA GÖTALANDS LÄN</t>
        </is>
      </c>
      <c r="G303" t="inlineStr">
        <is>
          <t>ULRICEHAMN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53666-2025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45960</v>
      </c>
      <c r="E304" s="1" t="n">
        <v>46295</v>
      </c>
      <c r="F304" t="inlineStr">
        <is>
          <t>VÄSTRA GÖTALANDS LÄN</t>
        </is>
      </c>
      <c r="G304" t="inlineStr">
        <is>
          <t>ULRICEHAMN</t>
        </is>
      </c>
      <c r="I304" t="n">
        <v>1.6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52712-2023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45225</v>
      </c>
      <c r="E305" s="1" t="n">
        <v>46295</v>
      </c>
      <c r="F305" t="inlineStr">
        <is>
          <t>VÄSTRA GÖTALANDS LÄN</t>
        </is>
      </c>
      <c r="G305" t="inlineStr">
        <is>
          <t>ULRICEHAMN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52714-2023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45225</v>
      </c>
      <c r="E306" s="1" t="n">
        <v>46295</v>
      </c>
      <c r="F306" t="inlineStr">
        <is>
          <t>VÄSTRA GÖTALANDS LÄN</t>
        </is>
      </c>
      <c r="G306" t="inlineStr">
        <is>
          <t>ULRICEHAMN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53504-2025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45960</v>
      </c>
      <c r="E307" s="1" t="n">
        <v>46295</v>
      </c>
      <c r="F307" t="inlineStr">
        <is>
          <t>VÄSTRA GÖTALANDS LÄN</t>
        </is>
      </c>
      <c r="G307" t="inlineStr">
        <is>
          <t>ULRICEHAMN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53386-2025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45959</v>
      </c>
      <c r="E308" s="1" t="n">
        <v>46295</v>
      </c>
      <c r="F308" t="inlineStr">
        <is>
          <t>VÄSTRA GÖTALANDS LÄN</t>
        </is>
      </c>
      <c r="G308" t="inlineStr">
        <is>
          <t>ULRICEHAMN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53518-2025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45960</v>
      </c>
      <c r="E309" s="1" t="n">
        <v>46295</v>
      </c>
      <c r="F309" t="inlineStr">
        <is>
          <t>VÄSTRA GÖTALANDS LÄN</t>
        </is>
      </c>
      <c r="G309" t="inlineStr">
        <is>
          <t>ULRICEHAMN</t>
        </is>
      </c>
      <c r="I309" t="n">
        <v>1.7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53497-2025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45960</v>
      </c>
      <c r="E310" s="1" t="n">
        <v>46295</v>
      </c>
      <c r="F310" t="inlineStr">
        <is>
          <t>VÄSTRA GÖTALANDS LÄN</t>
        </is>
      </c>
      <c r="G310" t="inlineStr">
        <is>
          <t>ULRICEHAMN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534-2024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45299</v>
      </c>
      <c r="E311" s="1" t="n">
        <v>46295</v>
      </c>
      <c r="F311" t="inlineStr">
        <is>
          <t>VÄSTRA GÖTALANDS LÄN</t>
        </is>
      </c>
      <c r="G311" t="inlineStr">
        <is>
          <t>ULRICEHAMN</t>
        </is>
      </c>
      <c r="I311" t="n">
        <v>0.7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6252-2023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44965</v>
      </c>
      <c r="E312" s="1" t="n">
        <v>46295</v>
      </c>
      <c r="F312" t="inlineStr">
        <is>
          <t>VÄSTRA GÖTALANDS LÄN</t>
        </is>
      </c>
      <c r="G312" t="inlineStr">
        <is>
          <t>ULRICEHAMN</t>
        </is>
      </c>
      <c r="I312" t="n">
        <v>2.9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2669-2024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45314</v>
      </c>
      <c r="E313" s="1" t="n">
        <v>46295</v>
      </c>
      <c r="F313" t="inlineStr">
        <is>
          <t>VÄSTRA GÖTALANDS LÄN</t>
        </is>
      </c>
      <c r="G313" t="inlineStr">
        <is>
          <t>ULRICEHAMN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7647-2026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46062</v>
      </c>
      <c r="E314" s="1" t="n">
        <v>46295</v>
      </c>
      <c r="F314" t="inlineStr">
        <is>
          <t>VÄSTRA GÖTALANDS LÄN</t>
        </is>
      </c>
      <c r="G314" t="inlineStr">
        <is>
          <t>ULRICEHAMN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7344-2023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44971</v>
      </c>
      <c r="E315" s="1" t="n">
        <v>46295</v>
      </c>
      <c r="F315" t="inlineStr">
        <is>
          <t>VÄSTRA GÖTALANDS LÄN</t>
        </is>
      </c>
      <c r="G315" t="inlineStr">
        <is>
          <t>ULRICEHAMN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53012-2024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45611</v>
      </c>
      <c r="E316" s="1" t="n">
        <v>46295</v>
      </c>
      <c r="F316" t="inlineStr">
        <is>
          <t>VÄSTRA GÖTALANDS LÄN</t>
        </is>
      </c>
      <c r="G316" t="inlineStr">
        <is>
          <t>ULRICEHAMN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54814-2025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46295</v>
      </c>
      <c r="F317" t="inlineStr">
        <is>
          <t>VÄSTRA GÖTALANDS LÄN</t>
        </is>
      </c>
      <c r="G317" t="inlineStr">
        <is>
          <t>ULRICEHAMN</t>
        </is>
      </c>
      <c r="I317" t="n">
        <v>3.1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54837-2025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45966</v>
      </c>
      <c r="E318" s="1" t="n">
        <v>46295</v>
      </c>
      <c r="F318" t="inlineStr">
        <is>
          <t>VÄSTRA GÖTALANDS LÄN</t>
        </is>
      </c>
      <c r="G318" t="inlineStr">
        <is>
          <t>ULRICEHAMN</t>
        </is>
      </c>
      <c r="I318" t="n">
        <v>3.1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55270-2025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45968</v>
      </c>
      <c r="E319" s="1" t="n">
        <v>46295</v>
      </c>
      <c r="F319" t="inlineStr">
        <is>
          <t>VÄSTRA GÖTALANDS LÄN</t>
        </is>
      </c>
      <c r="G319" t="inlineStr">
        <is>
          <t>ULRICEHAMN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37791-2023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45159</v>
      </c>
      <c r="E320" s="1" t="n">
        <v>46295</v>
      </c>
      <c r="F320" t="inlineStr">
        <is>
          <t>VÄSTRA GÖTALANDS LÄN</t>
        </is>
      </c>
      <c r="G320" t="inlineStr">
        <is>
          <t>ULRICEHAMN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56319-2025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45974</v>
      </c>
      <c r="E321" s="1" t="n">
        <v>46295</v>
      </c>
      <c r="F321" t="inlineStr">
        <is>
          <t>VÄSTRA GÖTALANDS LÄN</t>
        </is>
      </c>
      <c r="G321" t="inlineStr">
        <is>
          <t>ULRICEHAMN</t>
        </is>
      </c>
      <c r="I321" t="n">
        <v>4.5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56354-2025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45974</v>
      </c>
      <c r="E322" s="1" t="n">
        <v>46295</v>
      </c>
      <c r="F322" t="inlineStr">
        <is>
          <t>VÄSTRA GÖTALANDS LÄN</t>
        </is>
      </c>
      <c r="G322" t="inlineStr">
        <is>
          <t>ULRICEHAMN</t>
        </is>
      </c>
      <c r="I322" t="n">
        <v>0.9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56360-2025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45974</v>
      </c>
      <c r="E323" s="1" t="n">
        <v>46295</v>
      </c>
      <c r="F323" t="inlineStr">
        <is>
          <t>VÄSTRA GÖTALANDS LÄN</t>
        </is>
      </c>
      <c r="G323" t="inlineStr">
        <is>
          <t>ULRICEHAMN</t>
        </is>
      </c>
      <c r="I323" t="n">
        <v>4.8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50806-2024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45602</v>
      </c>
      <c r="E324" s="1" t="n">
        <v>46295</v>
      </c>
      <c r="F324" t="inlineStr">
        <is>
          <t>VÄSTRA GÖTALANDS LÄN</t>
        </is>
      </c>
      <c r="G324" t="inlineStr">
        <is>
          <t>ULRICEHAMN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16745-2024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45411</v>
      </c>
      <c r="E325" s="1" t="n">
        <v>46295</v>
      </c>
      <c r="F325" t="inlineStr">
        <is>
          <t>VÄSTRA GÖTALANDS LÄN</t>
        </is>
      </c>
      <c r="G325" t="inlineStr">
        <is>
          <t>ULRICEHAMN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16746-2024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45411</v>
      </c>
      <c r="E326" s="1" t="n">
        <v>46295</v>
      </c>
      <c r="F326" t="inlineStr">
        <is>
          <t>VÄSTRA GÖTALANDS LÄN</t>
        </is>
      </c>
      <c r="G326" t="inlineStr">
        <is>
          <t>ULRICEHAMN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27390-2024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45474</v>
      </c>
      <c r="E327" s="1" t="n">
        <v>46295</v>
      </c>
      <c r="F327" t="inlineStr">
        <is>
          <t>VÄSTRA GÖTALANDS LÄN</t>
        </is>
      </c>
      <c r="G327" t="inlineStr">
        <is>
          <t>ULRICEHAMN</t>
        </is>
      </c>
      <c r="I327" t="n">
        <v>3.2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56418-2025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45975</v>
      </c>
      <c r="E328" s="1" t="n">
        <v>46295</v>
      </c>
      <c r="F328" t="inlineStr">
        <is>
          <t>VÄSTRA GÖTALANDS LÄN</t>
        </is>
      </c>
      <c r="G328" t="inlineStr">
        <is>
          <t>ULRICEHAMN</t>
        </is>
      </c>
      <c r="I328" t="n">
        <v>2.5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62620-2021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44503</v>
      </c>
      <c r="E329" s="1" t="n">
        <v>46295</v>
      </c>
      <c r="F329" t="inlineStr">
        <is>
          <t>VÄSTRA GÖTALANDS LÄN</t>
        </is>
      </c>
      <c r="G329" t="inlineStr">
        <is>
          <t>ULRICEHAMN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13513-2023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45006</v>
      </c>
      <c r="E330" s="1" t="n">
        <v>46295</v>
      </c>
      <c r="F330" t="inlineStr">
        <is>
          <t>VÄSTRA GÖTALANDS LÄN</t>
        </is>
      </c>
      <c r="G330" t="inlineStr">
        <is>
          <t>ULRICEHAMN</t>
        </is>
      </c>
      <c r="H330" t="inlineStr">
        <is>
          <t>Kommuner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34774-2023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45140</v>
      </c>
      <c r="E331" s="1" t="n">
        <v>46295</v>
      </c>
      <c r="F331" t="inlineStr">
        <is>
          <t>VÄSTRA GÖTALANDS LÄN</t>
        </is>
      </c>
      <c r="G331" t="inlineStr">
        <is>
          <t>ULRICEHAMN</t>
        </is>
      </c>
      <c r="I331" t="n">
        <v>3.6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646-2025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45664</v>
      </c>
      <c r="E332" s="1" t="n">
        <v>46295</v>
      </c>
      <c r="F332" t="inlineStr">
        <is>
          <t>VÄSTRA GÖTALANDS LÄN</t>
        </is>
      </c>
      <c r="G332" t="inlineStr">
        <is>
          <t>ULRICEHAMN</t>
        </is>
      </c>
      <c r="I332" t="n">
        <v>0.9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9604-2026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46071</v>
      </c>
      <c r="E333" s="1" t="n">
        <v>46295</v>
      </c>
      <c r="F333" t="inlineStr">
        <is>
          <t>VÄSTRA GÖTALANDS LÄN</t>
        </is>
      </c>
      <c r="G333" t="inlineStr">
        <is>
          <t>ULRICEHAMN</t>
        </is>
      </c>
      <c r="I333" t="n">
        <v>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9605-2026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46071</v>
      </c>
      <c r="E334" s="1" t="n">
        <v>46295</v>
      </c>
      <c r="F334" t="inlineStr">
        <is>
          <t>VÄSTRA GÖTALANDS LÄN</t>
        </is>
      </c>
      <c r="G334" t="inlineStr">
        <is>
          <t>ULRICEHAMN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949-2025</t>
        </is>
      </c>
      <c r="B335" t="inlineStr">
        <is>
          <t>avverkningsanmälan</t>
        </is>
      </c>
      <c r="C335" t="inlineStr">
        <is>
          <t>Avverkning för annat ändamål</t>
        </is>
      </c>
      <c r="D335" s="1" t="n">
        <v>45666</v>
      </c>
      <c r="E335" s="1" t="n">
        <v>46295</v>
      </c>
      <c r="F335" t="inlineStr">
        <is>
          <t>VÄSTRA GÖTALANDS LÄN</t>
        </is>
      </c>
      <c r="G335" t="inlineStr">
        <is>
          <t>ULRICEHAMN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10431-2026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46077</v>
      </c>
      <c r="E336" s="1" t="n">
        <v>46295</v>
      </c>
      <c r="F336" t="inlineStr">
        <is>
          <t>VÄSTRA GÖTALANDS LÄN</t>
        </is>
      </c>
      <c r="G336" t="inlineStr">
        <is>
          <t>ULRICEHAMN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17236-2023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45035</v>
      </c>
      <c r="E337" s="1" t="n">
        <v>46295</v>
      </c>
      <c r="F337" t="inlineStr">
        <is>
          <t>VÄSTRA GÖTALANDS LÄN</t>
        </is>
      </c>
      <c r="G337" t="inlineStr">
        <is>
          <t>ULRICEHAMN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44301-2024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45573</v>
      </c>
      <c r="E338" s="1" t="n">
        <v>46295</v>
      </c>
      <c r="F338" t="inlineStr">
        <is>
          <t>VÄSTRA GÖTALANDS LÄN</t>
        </is>
      </c>
      <c r="G338" t="inlineStr">
        <is>
          <t>ULRICEHAMN</t>
        </is>
      </c>
      <c r="I338" t="n">
        <v>3.7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59215-2025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45988</v>
      </c>
      <c r="E339" s="1" t="n">
        <v>46295</v>
      </c>
      <c r="F339" t="inlineStr">
        <is>
          <t>VÄSTRA GÖTALANDS LÄN</t>
        </is>
      </c>
      <c r="G339" t="inlineStr">
        <is>
          <t>ULRICEHAMN</t>
        </is>
      </c>
      <c r="I339" t="n">
        <v>3.4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7978-2026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46063</v>
      </c>
      <c r="E340" s="1" t="n">
        <v>46295</v>
      </c>
      <c r="F340" t="inlineStr">
        <is>
          <t>VÄSTRA GÖTALANDS LÄN</t>
        </is>
      </c>
      <c r="G340" t="inlineStr">
        <is>
          <t>ULRICEHAMN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7981-2026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46063</v>
      </c>
      <c r="E341" s="1" t="n">
        <v>46295</v>
      </c>
      <c r="F341" t="inlineStr">
        <is>
          <t>VÄSTRA GÖTALANDS LÄN</t>
        </is>
      </c>
      <c r="G341" t="inlineStr">
        <is>
          <t>ULRICEHAMN</t>
        </is>
      </c>
      <c r="I341" t="n">
        <v>1.1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37515-2023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45158</v>
      </c>
      <c r="E342" s="1" t="n">
        <v>46295</v>
      </c>
      <c r="F342" t="inlineStr">
        <is>
          <t>VÄSTRA GÖTALANDS LÄN</t>
        </is>
      </c>
      <c r="G342" t="inlineStr">
        <is>
          <t>ULRICEHAMN</t>
        </is>
      </c>
      <c r="I342" t="n">
        <v>2.8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59820-2025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45992</v>
      </c>
      <c r="E343" s="1" t="n">
        <v>46295</v>
      </c>
      <c r="F343" t="inlineStr">
        <is>
          <t>VÄSTRA GÖTALANDS LÄN</t>
        </is>
      </c>
      <c r="G343" t="inlineStr">
        <is>
          <t>ULRICEHAMN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59752-2025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45992</v>
      </c>
      <c r="E344" s="1" t="n">
        <v>46295</v>
      </c>
      <c r="F344" t="inlineStr">
        <is>
          <t>VÄSTRA GÖTALANDS LÄN</t>
        </is>
      </c>
      <c r="G344" t="inlineStr">
        <is>
          <t>ULRICEHAMN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7990-2026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46063</v>
      </c>
      <c r="E345" s="1" t="n">
        <v>46295</v>
      </c>
      <c r="F345" t="inlineStr">
        <is>
          <t>VÄSTRA GÖTALANDS LÄN</t>
        </is>
      </c>
      <c r="G345" t="inlineStr">
        <is>
          <t>ULRICEHAMN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51666-2024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45606</v>
      </c>
      <c r="E346" s="1" t="n">
        <v>46295</v>
      </c>
      <c r="F346" t="inlineStr">
        <is>
          <t>VÄSTRA GÖTALANDS LÄN</t>
        </is>
      </c>
      <c r="G346" t="inlineStr">
        <is>
          <t>ULRICEHAMN</t>
        </is>
      </c>
      <c r="I346" t="n">
        <v>0.2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60165-2025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45994</v>
      </c>
      <c r="E347" s="1" t="n">
        <v>46295</v>
      </c>
      <c r="F347" t="inlineStr">
        <is>
          <t>VÄSTRA GÖTALANDS LÄN</t>
        </is>
      </c>
      <c r="G347" t="inlineStr">
        <is>
          <t>ULRICEHAMN</t>
        </is>
      </c>
      <c r="I347" t="n">
        <v>1.8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60168-2025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45994</v>
      </c>
      <c r="E348" s="1" t="n">
        <v>46295</v>
      </c>
      <c r="F348" t="inlineStr">
        <is>
          <t>VÄSTRA GÖTALANDS LÄN</t>
        </is>
      </c>
      <c r="G348" t="inlineStr">
        <is>
          <t>ULRICEHAMN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60164-2025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45994</v>
      </c>
      <c r="E349" s="1" t="n">
        <v>46295</v>
      </c>
      <c r="F349" t="inlineStr">
        <is>
          <t>VÄSTRA GÖTALANDS LÄN</t>
        </is>
      </c>
      <c r="G349" t="inlineStr">
        <is>
          <t>ULRICEHAMN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60179-2025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45994</v>
      </c>
      <c r="E350" s="1" t="n">
        <v>46295</v>
      </c>
      <c r="F350" t="inlineStr">
        <is>
          <t>VÄSTRA GÖTALANDS LÄN</t>
        </is>
      </c>
      <c r="G350" t="inlineStr">
        <is>
          <t>ULRICEHAMN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60187-2025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45994</v>
      </c>
      <c r="E351" s="1" t="n">
        <v>46295</v>
      </c>
      <c r="F351" t="inlineStr">
        <is>
          <t>VÄSTRA GÖTALANDS LÄN</t>
        </is>
      </c>
      <c r="G351" t="inlineStr">
        <is>
          <t>ULRICEHAMN</t>
        </is>
      </c>
      <c r="I351" t="n">
        <v>0.7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60159-2025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45994</v>
      </c>
      <c r="E352" s="1" t="n">
        <v>46295</v>
      </c>
      <c r="F352" t="inlineStr">
        <is>
          <t>VÄSTRA GÖTALANDS LÄN</t>
        </is>
      </c>
      <c r="G352" t="inlineStr">
        <is>
          <t>ULRICEHAMN</t>
        </is>
      </c>
      <c r="I352" t="n">
        <v>2.5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60704-2025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45996</v>
      </c>
      <c r="E353" s="1" t="n">
        <v>46295</v>
      </c>
      <c r="F353" t="inlineStr">
        <is>
          <t>VÄSTRA GÖTALANDS LÄN</t>
        </is>
      </c>
      <c r="G353" t="inlineStr">
        <is>
          <t>ULRICEHAMN</t>
        </is>
      </c>
      <c r="I353" t="n">
        <v>2.6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55997-2021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44477</v>
      </c>
      <c r="E354" s="1" t="n">
        <v>46295</v>
      </c>
      <c r="F354" t="inlineStr">
        <is>
          <t>VÄSTRA GÖTALANDS LÄN</t>
        </is>
      </c>
      <c r="G354" t="inlineStr">
        <is>
          <t>ULRICEHAMN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38340-2022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44812</v>
      </c>
      <c r="E355" s="1" t="n">
        <v>46295</v>
      </c>
      <c r="F355" t="inlineStr">
        <is>
          <t>VÄSTRA GÖTALANDS LÄN</t>
        </is>
      </c>
      <c r="G355" t="inlineStr">
        <is>
          <t>ULRICEHAMN</t>
        </is>
      </c>
      <c r="I355" t="n">
        <v>5.4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52713-2023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45225</v>
      </c>
      <c r="E356" s="1" t="n">
        <v>46295</v>
      </c>
      <c r="F356" t="inlineStr">
        <is>
          <t>VÄSTRA GÖTALANDS LÄN</t>
        </is>
      </c>
      <c r="G356" t="inlineStr">
        <is>
          <t>ULRICEHAMN</t>
        </is>
      </c>
      <c r="I356" t="n">
        <v>0.9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5158-2025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45691</v>
      </c>
      <c r="E357" s="1" t="n">
        <v>46295</v>
      </c>
      <c r="F357" t="inlineStr">
        <is>
          <t>VÄSTRA GÖTALANDS LÄN</t>
        </is>
      </c>
      <c r="G357" t="inlineStr">
        <is>
          <t>ULRICEHAMN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5159-2025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45691</v>
      </c>
      <c r="E358" s="1" t="n">
        <v>46295</v>
      </c>
      <c r="F358" t="inlineStr">
        <is>
          <t>VÄSTRA GÖTALANDS LÄN</t>
        </is>
      </c>
      <c r="G358" t="inlineStr">
        <is>
          <t>ULRICEHAMN</t>
        </is>
      </c>
      <c r="I358" t="n">
        <v>0.4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60932-2025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45999</v>
      </c>
      <c r="E359" s="1" t="n">
        <v>46295</v>
      </c>
      <c r="F359" t="inlineStr">
        <is>
          <t>VÄSTRA GÖTALANDS LÄN</t>
        </is>
      </c>
      <c r="G359" t="inlineStr">
        <is>
          <t>ULRICEHAMN</t>
        </is>
      </c>
      <c r="I359" t="n">
        <v>3.1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402-2022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44565</v>
      </c>
      <c r="E360" s="1" t="n">
        <v>46295</v>
      </c>
      <c r="F360" t="inlineStr">
        <is>
          <t>VÄSTRA GÖTALANDS LÄN</t>
        </is>
      </c>
      <c r="G360" t="inlineStr">
        <is>
          <t>ULRICEHAMN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61534-2025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46001</v>
      </c>
      <c r="E361" s="1" t="n">
        <v>46295</v>
      </c>
      <c r="F361" t="inlineStr">
        <is>
          <t>VÄSTRA GÖTALANDS LÄN</t>
        </is>
      </c>
      <c r="G361" t="inlineStr">
        <is>
          <t>ULRICEHAMN</t>
        </is>
      </c>
      <c r="I361" t="n">
        <v>3.5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12205-2026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46087</v>
      </c>
      <c r="E362" s="1" t="n">
        <v>46295</v>
      </c>
      <c r="F362" t="inlineStr">
        <is>
          <t>VÄSTRA GÖTALANDS LÄN</t>
        </is>
      </c>
      <c r="G362" t="inlineStr">
        <is>
          <t>ULRICEHAMN</t>
        </is>
      </c>
      <c r="I362" t="n">
        <v>5.1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38180-2023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45161</v>
      </c>
      <c r="E363" s="1" t="n">
        <v>46295</v>
      </c>
      <c r="F363" t="inlineStr">
        <is>
          <t>VÄSTRA GÖTALANDS LÄN</t>
        </is>
      </c>
      <c r="G363" t="inlineStr">
        <is>
          <t>ULRICEHAMN</t>
        </is>
      </c>
      <c r="I363" t="n">
        <v>3.4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61537-2025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46001</v>
      </c>
      <c r="E364" s="1" t="n">
        <v>46295</v>
      </c>
      <c r="F364" t="inlineStr">
        <is>
          <t>VÄSTRA GÖTALANDS LÄN</t>
        </is>
      </c>
      <c r="G364" t="inlineStr">
        <is>
          <t>ULRICEHAMN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12692-2026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46091</v>
      </c>
      <c r="E365" s="1" t="n">
        <v>46295</v>
      </c>
      <c r="F365" t="inlineStr">
        <is>
          <t>VÄSTRA GÖTALANDS LÄN</t>
        </is>
      </c>
      <c r="G365" t="inlineStr">
        <is>
          <t>ULRICEHAMN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18573-2023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45043</v>
      </c>
      <c r="E366" s="1" t="n">
        <v>46295</v>
      </c>
      <c r="F366" t="inlineStr">
        <is>
          <t>VÄSTRA GÖTALANDS LÄN</t>
        </is>
      </c>
      <c r="G366" t="inlineStr">
        <is>
          <t>ULRICEHAMN</t>
        </is>
      </c>
      <c r="I366" t="n">
        <v>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62920-2025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46009</v>
      </c>
      <c r="E367" s="1" t="n">
        <v>46295</v>
      </c>
      <c r="F367" t="inlineStr">
        <is>
          <t>VÄSTRA GÖTALANDS LÄN</t>
        </is>
      </c>
      <c r="G367" t="inlineStr">
        <is>
          <t>ULRICEHAMN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7020-2025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45701</v>
      </c>
      <c r="E368" s="1" t="n">
        <v>46295</v>
      </c>
      <c r="F368" t="inlineStr">
        <is>
          <t>VÄSTRA GÖTALANDS LÄN</t>
        </is>
      </c>
      <c r="G368" t="inlineStr">
        <is>
          <t>ULRICEHAMN</t>
        </is>
      </c>
      <c r="H368" t="inlineStr">
        <is>
          <t>Kyrkan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5154-2025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45691</v>
      </c>
      <c r="E369" s="1" t="n">
        <v>46295</v>
      </c>
      <c r="F369" t="inlineStr">
        <is>
          <t>VÄSTRA GÖTALANDS LÄN</t>
        </is>
      </c>
      <c r="G369" t="inlineStr">
        <is>
          <t>ULRICEHAMN</t>
        </is>
      </c>
      <c r="I369" t="n">
        <v>0.7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37685-2022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44810</v>
      </c>
      <c r="E370" s="1" t="n">
        <v>46295</v>
      </c>
      <c r="F370" t="inlineStr">
        <is>
          <t>VÄSTRA GÖTALANDS LÄN</t>
        </is>
      </c>
      <c r="G370" t="inlineStr">
        <is>
          <t>ULRICEHAMN</t>
        </is>
      </c>
      <c r="I370" t="n">
        <v>5.4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52172-2023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45224</v>
      </c>
      <c r="E371" s="1" t="n">
        <v>46295</v>
      </c>
      <c r="F371" t="inlineStr">
        <is>
          <t>VÄSTRA GÖTALANDS LÄN</t>
        </is>
      </c>
      <c r="G371" t="inlineStr">
        <is>
          <t>ULRICEHAMN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38697-2023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45163</v>
      </c>
      <c r="E372" s="1" t="n">
        <v>46295</v>
      </c>
      <c r="F372" t="inlineStr">
        <is>
          <t>VÄSTRA GÖTALANDS LÄN</t>
        </is>
      </c>
      <c r="G372" t="inlineStr">
        <is>
          <t>ULRICEHAMN</t>
        </is>
      </c>
      <c r="I372" t="n">
        <v>1.2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544-2024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45299</v>
      </c>
      <c r="E373" s="1" t="n">
        <v>46295</v>
      </c>
      <c r="F373" t="inlineStr">
        <is>
          <t>VÄSTRA GÖTALANDS LÄN</t>
        </is>
      </c>
      <c r="G373" t="inlineStr">
        <is>
          <t>ULRICEHAMN</t>
        </is>
      </c>
      <c r="I373" t="n">
        <v>9.699999999999999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14661-2026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46101</v>
      </c>
      <c r="E374" s="1" t="n">
        <v>46295</v>
      </c>
      <c r="F374" t="inlineStr">
        <is>
          <t>VÄSTRA GÖTALANDS LÄN</t>
        </is>
      </c>
      <c r="G374" t="inlineStr">
        <is>
          <t>ULRICEHAMN</t>
        </is>
      </c>
      <c r="I374" t="n">
        <v>3.4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55160-2023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45237</v>
      </c>
      <c r="E375" s="1" t="n">
        <v>46295</v>
      </c>
      <c r="F375" t="inlineStr">
        <is>
          <t>VÄSTRA GÖTALANDS LÄN</t>
        </is>
      </c>
      <c r="G375" t="inlineStr">
        <is>
          <t>ULRICEHAMN</t>
        </is>
      </c>
      <c r="I375" t="n">
        <v>4.6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22416-2023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45070</v>
      </c>
      <c r="E376" s="1" t="n">
        <v>46295</v>
      </c>
      <c r="F376" t="inlineStr">
        <is>
          <t>VÄSTRA GÖTALANDS LÄN</t>
        </is>
      </c>
      <c r="G376" t="inlineStr">
        <is>
          <t>ULRICEHAMN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51914-2023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45223</v>
      </c>
      <c r="E377" s="1" t="n">
        <v>46295</v>
      </c>
      <c r="F377" t="inlineStr">
        <is>
          <t>VÄSTRA GÖTALANDS LÄN</t>
        </is>
      </c>
      <c r="G377" t="inlineStr">
        <is>
          <t>ULRICEHAMN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4513-2025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45686</v>
      </c>
      <c r="E378" s="1" t="n">
        <v>46295</v>
      </c>
      <c r="F378" t="inlineStr">
        <is>
          <t>VÄSTRA GÖTALANDS LÄN</t>
        </is>
      </c>
      <c r="G378" t="inlineStr">
        <is>
          <t>ULRICEHAMN</t>
        </is>
      </c>
      <c r="I378" t="n">
        <v>0.7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34576-2023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45140</v>
      </c>
      <c r="E379" s="1" t="n">
        <v>46295</v>
      </c>
      <c r="F379" t="inlineStr">
        <is>
          <t>VÄSTRA GÖTALANDS LÄN</t>
        </is>
      </c>
      <c r="G379" t="inlineStr">
        <is>
          <t>ULRICEHAMN</t>
        </is>
      </c>
      <c r="I379" t="n">
        <v>7.7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14039-2023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45008</v>
      </c>
      <c r="E380" s="1" t="n">
        <v>46295</v>
      </c>
      <c r="F380" t="inlineStr">
        <is>
          <t>VÄSTRA GÖTALANDS LÄN</t>
        </is>
      </c>
      <c r="G380" t="inlineStr">
        <is>
          <t>ULRICEHAMN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33892-2023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45134</v>
      </c>
      <c r="E381" s="1" t="n">
        <v>46295</v>
      </c>
      <c r="F381" t="inlineStr">
        <is>
          <t>VÄSTRA GÖTALANDS LÄN</t>
        </is>
      </c>
      <c r="G381" t="inlineStr">
        <is>
          <t>ULRICEHAMN</t>
        </is>
      </c>
      <c r="I381" t="n">
        <v>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16657-2026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46112</v>
      </c>
      <c r="E382" s="1" t="n">
        <v>46295</v>
      </c>
      <c r="F382" t="inlineStr">
        <is>
          <t>VÄSTRA GÖTALANDS LÄN</t>
        </is>
      </c>
      <c r="G382" t="inlineStr">
        <is>
          <t>ULRICEHAMN</t>
        </is>
      </c>
      <c r="I382" t="n">
        <v>2.2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42289-2023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45180</v>
      </c>
      <c r="E383" s="1" t="n">
        <v>46295</v>
      </c>
      <c r="F383" t="inlineStr">
        <is>
          <t>VÄSTRA GÖTALANDS LÄN</t>
        </is>
      </c>
      <c r="G383" t="inlineStr">
        <is>
          <t>ULRICEHAMN</t>
        </is>
      </c>
      <c r="I383" t="n">
        <v>0.4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17114-2026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46114</v>
      </c>
      <c r="E384" s="1" t="n">
        <v>46295</v>
      </c>
      <c r="F384" t="inlineStr">
        <is>
          <t>VÄSTRA GÖTALANDS LÄN</t>
        </is>
      </c>
      <c r="G384" t="inlineStr">
        <is>
          <t>ULRICEHAMN</t>
        </is>
      </c>
      <c r="I384" t="n">
        <v>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17193-2026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46118</v>
      </c>
      <c r="E385" s="1" t="n">
        <v>46295</v>
      </c>
      <c r="F385" t="inlineStr">
        <is>
          <t>VÄSTRA GÖTALANDS LÄN</t>
        </is>
      </c>
      <c r="G385" t="inlineStr">
        <is>
          <t>ULRICEHAMN</t>
        </is>
      </c>
      <c r="I385" t="n">
        <v>1.9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69114-2021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44530</v>
      </c>
      <c r="E386" s="1" t="n">
        <v>46295</v>
      </c>
      <c r="F386" t="inlineStr">
        <is>
          <t>VÄSTRA GÖTALANDS LÄN</t>
        </is>
      </c>
      <c r="G386" t="inlineStr">
        <is>
          <t>ULRICEHAMN</t>
        </is>
      </c>
      <c r="I386" t="n">
        <v>5.8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16895-2023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45033</v>
      </c>
      <c r="E387" s="1" t="n">
        <v>46295</v>
      </c>
      <c r="F387" t="inlineStr">
        <is>
          <t>VÄSTRA GÖTALANDS LÄN</t>
        </is>
      </c>
      <c r="G387" t="inlineStr">
        <is>
          <t>ULRICEHAMN</t>
        </is>
      </c>
      <c r="I387" t="n">
        <v>0.7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36833-2024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45538</v>
      </c>
      <c r="E388" s="1" t="n">
        <v>46295</v>
      </c>
      <c r="F388" t="inlineStr">
        <is>
          <t>VÄSTRA GÖTALANDS LÄN</t>
        </is>
      </c>
      <c r="G388" t="inlineStr">
        <is>
          <t>ULRICEHAMN</t>
        </is>
      </c>
      <c r="I388" t="n">
        <v>3.7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50500-2024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45601</v>
      </c>
      <c r="E389" s="1" t="n">
        <v>46295</v>
      </c>
      <c r="F389" t="inlineStr">
        <is>
          <t>VÄSTRA GÖTALANDS LÄN</t>
        </is>
      </c>
      <c r="G389" t="inlineStr">
        <is>
          <t>ULRICEHAMN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17602-2026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46121</v>
      </c>
      <c r="E390" s="1" t="n">
        <v>46295</v>
      </c>
      <c r="F390" t="inlineStr">
        <is>
          <t>VÄSTRA GÖTALANDS LÄN</t>
        </is>
      </c>
      <c r="G390" t="inlineStr">
        <is>
          <t>ULRICEHAMN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25769-2023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45090</v>
      </c>
      <c r="E391" s="1" t="n">
        <v>46295</v>
      </c>
      <c r="F391" t="inlineStr">
        <is>
          <t>VÄSTRA GÖTALANDS LÄN</t>
        </is>
      </c>
      <c r="G391" t="inlineStr">
        <is>
          <t>ULRICEHAMN</t>
        </is>
      </c>
      <c r="I391" t="n">
        <v>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54519-2022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44882</v>
      </c>
      <c r="E392" s="1" t="n">
        <v>46295</v>
      </c>
      <c r="F392" t="inlineStr">
        <is>
          <t>VÄSTRA GÖTALANDS LÄN</t>
        </is>
      </c>
      <c r="G392" t="inlineStr">
        <is>
          <t>ULRICEHAMN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18079-2026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46125</v>
      </c>
      <c r="E393" s="1" t="n">
        <v>46295</v>
      </c>
      <c r="F393" t="inlineStr">
        <is>
          <t>VÄSTRA GÖTALANDS LÄN</t>
        </is>
      </c>
      <c r="G393" t="inlineStr">
        <is>
          <t>ULRICEHAMN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61773-2022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44917</v>
      </c>
      <c r="E394" s="1" t="n">
        <v>46295</v>
      </c>
      <c r="F394" t="inlineStr">
        <is>
          <t>VÄSTRA GÖTALANDS LÄN</t>
        </is>
      </c>
      <c r="G394" t="inlineStr">
        <is>
          <t>ULRICEHAMN</t>
        </is>
      </c>
      <c r="H394" t="inlineStr">
        <is>
          <t>Kommuner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59036-2023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45252</v>
      </c>
      <c r="E395" s="1" t="n">
        <v>46295</v>
      </c>
      <c r="F395" t="inlineStr">
        <is>
          <t>VÄSTRA GÖTALANDS LÄN</t>
        </is>
      </c>
      <c r="G395" t="inlineStr">
        <is>
          <t>ULRICEHAMN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25070-2023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45086</v>
      </c>
      <c r="E396" s="1" t="n">
        <v>46295</v>
      </c>
      <c r="F396" t="inlineStr">
        <is>
          <t>VÄSTRA GÖTALANDS LÄN</t>
        </is>
      </c>
      <c r="G396" t="inlineStr">
        <is>
          <t>ULRICEHAMN</t>
        </is>
      </c>
      <c r="I396" t="n">
        <v>3.9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48196-2022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44858</v>
      </c>
      <c r="E397" s="1" t="n">
        <v>46295</v>
      </c>
      <c r="F397" t="inlineStr">
        <is>
          <t>VÄSTRA GÖTALANDS LÄN</t>
        </is>
      </c>
      <c r="G397" t="inlineStr">
        <is>
          <t>ULRICEHAMN</t>
        </is>
      </c>
      <c r="I397" t="n">
        <v>4.3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18745-2026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46128</v>
      </c>
      <c r="E398" s="1" t="n">
        <v>46295</v>
      </c>
      <c r="F398" t="inlineStr">
        <is>
          <t>VÄSTRA GÖTALANDS LÄN</t>
        </is>
      </c>
      <c r="G398" t="inlineStr">
        <is>
          <t>ULRICEHAMN</t>
        </is>
      </c>
      <c r="H398" t="inlineStr">
        <is>
          <t>Kyrkan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26749-2023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45093</v>
      </c>
      <c r="E399" s="1" t="n">
        <v>46295</v>
      </c>
      <c r="F399" t="inlineStr">
        <is>
          <t>VÄSTRA GÖTALANDS LÄN</t>
        </is>
      </c>
      <c r="G399" t="inlineStr">
        <is>
          <t>ULRICEHAMN</t>
        </is>
      </c>
      <c r="I399" t="n">
        <v>7.8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14599-2024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45395</v>
      </c>
      <c r="E400" s="1" t="n">
        <v>46295</v>
      </c>
      <c r="F400" t="inlineStr">
        <is>
          <t>VÄSTRA GÖTALANDS LÄN</t>
        </is>
      </c>
      <c r="G400" t="inlineStr">
        <is>
          <t>ULRICEHAMN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18743-2026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46128</v>
      </c>
      <c r="E401" s="1" t="n">
        <v>46295</v>
      </c>
      <c r="F401" t="inlineStr">
        <is>
          <t>VÄSTRA GÖTALANDS LÄN</t>
        </is>
      </c>
      <c r="G401" t="inlineStr">
        <is>
          <t>ULRICEHAMN</t>
        </is>
      </c>
      <c r="H401" t="inlineStr">
        <is>
          <t>Kyrkan</t>
        </is>
      </c>
      <c r="I401" t="n">
        <v>0.9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55765-2023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45239</v>
      </c>
      <c r="E402" s="1" t="n">
        <v>46295</v>
      </c>
      <c r="F402" t="inlineStr">
        <is>
          <t>VÄSTRA GÖTALANDS LÄN</t>
        </is>
      </c>
      <c r="G402" t="inlineStr">
        <is>
          <t>ULRICEHAMN</t>
        </is>
      </c>
      <c r="I402" t="n">
        <v>0.4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28881-2023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45104</v>
      </c>
      <c r="E403" s="1" t="n">
        <v>46295</v>
      </c>
      <c r="F403" t="inlineStr">
        <is>
          <t>VÄSTRA GÖTALANDS LÄN</t>
        </is>
      </c>
      <c r="G403" t="inlineStr">
        <is>
          <t>ULRICEHAMN</t>
        </is>
      </c>
      <c r="I403" t="n">
        <v>2.4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28893-2023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45104</v>
      </c>
      <c r="E404" s="1" t="n">
        <v>46295</v>
      </c>
      <c r="F404" t="inlineStr">
        <is>
          <t>VÄSTRA GÖTALANDS LÄN</t>
        </is>
      </c>
      <c r="G404" t="inlineStr">
        <is>
          <t>ULRICEHAMN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47724-2023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45203</v>
      </c>
      <c r="E405" s="1" t="n">
        <v>46295</v>
      </c>
      <c r="F405" t="inlineStr">
        <is>
          <t>VÄSTRA GÖTALANDS LÄN</t>
        </is>
      </c>
      <c r="G405" t="inlineStr">
        <is>
          <t>ULRICEHAMN</t>
        </is>
      </c>
      <c r="I405" t="n">
        <v>3.9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48242-2024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45590</v>
      </c>
      <c r="E406" s="1" t="n">
        <v>46295</v>
      </c>
      <c r="F406" t="inlineStr">
        <is>
          <t>VÄSTRA GÖTALANDS LÄN</t>
        </is>
      </c>
      <c r="G406" t="inlineStr">
        <is>
          <t>ULRICEHAMN</t>
        </is>
      </c>
      <c r="I406" t="n">
        <v>1.4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46171-2025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45924</v>
      </c>
      <c r="E407" s="1" t="n">
        <v>46295</v>
      </c>
      <c r="F407" t="inlineStr">
        <is>
          <t>VÄSTRA GÖTALANDS LÄN</t>
        </is>
      </c>
      <c r="G407" t="inlineStr">
        <is>
          <t>ULRICEHAMN</t>
        </is>
      </c>
      <c r="I407" t="n">
        <v>0.7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22609-2023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45071</v>
      </c>
      <c r="E408" s="1" t="n">
        <v>46295</v>
      </c>
      <c r="F408" t="inlineStr">
        <is>
          <t>VÄSTRA GÖTALANDS LÄN</t>
        </is>
      </c>
      <c r="G408" t="inlineStr">
        <is>
          <t>ULRICEHAMN</t>
        </is>
      </c>
      <c r="I408" t="n">
        <v>2.6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5294-2023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44959</v>
      </c>
      <c r="E409" s="1" t="n">
        <v>46295</v>
      </c>
      <c r="F409" t="inlineStr">
        <is>
          <t>VÄSTRA GÖTALANDS LÄN</t>
        </is>
      </c>
      <c r="G409" t="inlineStr">
        <is>
          <t>ULRICEHAMN</t>
        </is>
      </c>
      <c r="I409" t="n">
        <v>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30770-2023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45112</v>
      </c>
      <c r="E410" s="1" t="n">
        <v>46295</v>
      </c>
      <c r="F410" t="inlineStr">
        <is>
          <t>VÄSTRA GÖTALANDS LÄN</t>
        </is>
      </c>
      <c r="G410" t="inlineStr">
        <is>
          <t>ULRICEHAMN</t>
        </is>
      </c>
      <c r="I410" t="n">
        <v>1.5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40684-2024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45558</v>
      </c>
      <c r="E411" s="1" t="n">
        <v>46295</v>
      </c>
      <c r="F411" t="inlineStr">
        <is>
          <t>VÄSTRA GÖTALANDS LÄN</t>
        </is>
      </c>
      <c r="G411" t="inlineStr">
        <is>
          <t>ULRICEHAMN</t>
        </is>
      </c>
      <c r="I411" t="n">
        <v>2.7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23854-2023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45075</v>
      </c>
      <c r="E412" s="1" t="n">
        <v>46295</v>
      </c>
      <c r="F412" t="inlineStr">
        <is>
          <t>VÄSTRA GÖTALANDS LÄN</t>
        </is>
      </c>
      <c r="G412" t="inlineStr">
        <is>
          <t>ULRICEHAMN</t>
        </is>
      </c>
      <c r="I412" t="n">
        <v>2.5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40365-2025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45895</v>
      </c>
      <c r="E413" s="1" t="n">
        <v>46295</v>
      </c>
      <c r="F413" t="inlineStr">
        <is>
          <t>VÄSTRA GÖTALANDS LÄN</t>
        </is>
      </c>
      <c r="G413" t="inlineStr">
        <is>
          <t>ULRICEHAMN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399-2025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45663</v>
      </c>
      <c r="E414" s="1" t="n">
        <v>46295</v>
      </c>
      <c r="F414" t="inlineStr">
        <is>
          <t>VÄSTRA GÖTALANDS LÄN</t>
        </is>
      </c>
      <c r="G414" t="inlineStr">
        <is>
          <t>ULRICEHAMN</t>
        </is>
      </c>
      <c r="I414" t="n">
        <v>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14911-2023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45015</v>
      </c>
      <c r="E415" s="1" t="n">
        <v>46295</v>
      </c>
      <c r="F415" t="inlineStr">
        <is>
          <t>VÄSTRA GÖTALANDS LÄN</t>
        </is>
      </c>
      <c r="G415" t="inlineStr">
        <is>
          <t>ULRICEHAMN</t>
        </is>
      </c>
      <c r="I415" t="n">
        <v>1.6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56120-2021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44477</v>
      </c>
      <c r="E416" s="1" t="n">
        <v>46295</v>
      </c>
      <c r="F416" t="inlineStr">
        <is>
          <t>VÄSTRA GÖTALANDS LÄN</t>
        </is>
      </c>
      <c r="G416" t="inlineStr">
        <is>
          <t>ULRICEHAMN</t>
        </is>
      </c>
      <c r="I416" t="n">
        <v>3.1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19867-2022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44697</v>
      </c>
      <c r="E417" s="1" t="n">
        <v>46295</v>
      </c>
      <c r="F417" t="inlineStr">
        <is>
          <t>VÄSTRA GÖTALANDS LÄN</t>
        </is>
      </c>
      <c r="G417" t="inlineStr">
        <is>
          <t>ULRICEHAMN</t>
        </is>
      </c>
      <c r="I417" t="n">
        <v>0.9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2693-2023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44944</v>
      </c>
      <c r="E418" s="1" t="n">
        <v>46295</v>
      </c>
      <c r="F418" t="inlineStr">
        <is>
          <t>VÄSTRA GÖTALANDS LÄN</t>
        </is>
      </c>
      <c r="G418" t="inlineStr">
        <is>
          <t>ULRICEHAMN</t>
        </is>
      </c>
      <c r="I418" t="n">
        <v>6.6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2309-2022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44578</v>
      </c>
      <c r="E419" s="1" t="n">
        <v>46295</v>
      </c>
      <c r="F419" t="inlineStr">
        <is>
          <t>VÄSTRA GÖTALANDS LÄN</t>
        </is>
      </c>
      <c r="G419" t="inlineStr">
        <is>
          <t>ULRICEHAMN</t>
        </is>
      </c>
      <c r="I419" t="n">
        <v>8.4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40031-2023</t>
        </is>
      </c>
      <c r="B420" t="inlineStr">
        <is>
          <t>avverkningsanmälan</t>
        </is>
      </c>
      <c r="C420" t="inlineStr">
        <is>
          <t>Avverkning för annat ändamål</t>
        </is>
      </c>
      <c r="D420" s="1" t="n">
        <v>45168</v>
      </c>
      <c r="E420" s="1" t="n">
        <v>46295</v>
      </c>
      <c r="F420" t="inlineStr">
        <is>
          <t>VÄSTRA GÖTALANDS LÄN</t>
        </is>
      </c>
      <c r="G420" t="inlineStr">
        <is>
          <t>ULRICEHAMN</t>
        </is>
      </c>
      <c r="I420" t="n">
        <v>0.1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40035-2023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45168</v>
      </c>
      <c r="E421" s="1" t="n">
        <v>46295</v>
      </c>
      <c r="F421" t="inlineStr">
        <is>
          <t>VÄSTRA GÖTALANDS LÄN</t>
        </is>
      </c>
      <c r="G421" t="inlineStr">
        <is>
          <t>ULRICEHAMN</t>
        </is>
      </c>
      <c r="I421" t="n">
        <v>0.1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38182-2023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45161</v>
      </c>
      <c r="E422" s="1" t="n">
        <v>46295</v>
      </c>
      <c r="F422" t="inlineStr">
        <is>
          <t>VÄSTRA GÖTALANDS LÄN</t>
        </is>
      </c>
      <c r="G422" t="inlineStr">
        <is>
          <t>ULRICEHAMN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38640-2023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45162</v>
      </c>
      <c r="E423" s="1" t="n">
        <v>46295</v>
      </c>
      <c r="F423" t="inlineStr">
        <is>
          <t>VÄSTRA GÖTALANDS LÄN</t>
        </is>
      </c>
      <c r="G423" t="inlineStr">
        <is>
          <t>ULRICEHAMN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16275-2025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45750</v>
      </c>
      <c r="E424" s="1" t="n">
        <v>46295</v>
      </c>
      <c r="F424" t="inlineStr">
        <is>
          <t>VÄSTRA GÖTALANDS LÄN</t>
        </is>
      </c>
      <c r="G424" t="inlineStr">
        <is>
          <t>ULRICEHAMN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9994-2024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45363</v>
      </c>
      <c r="E425" s="1" t="n">
        <v>46295</v>
      </c>
      <c r="F425" t="inlineStr">
        <is>
          <t>VÄSTRA GÖTALANDS LÄN</t>
        </is>
      </c>
      <c r="G425" t="inlineStr">
        <is>
          <t>ULRICEHAMN</t>
        </is>
      </c>
      <c r="I425" t="n">
        <v>7.8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38666-2023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45162</v>
      </c>
      <c r="E426" s="1" t="n">
        <v>46295</v>
      </c>
      <c r="F426" t="inlineStr">
        <is>
          <t>VÄSTRA GÖTALANDS LÄN</t>
        </is>
      </c>
      <c r="G426" t="inlineStr">
        <is>
          <t>ULRICEHAMN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51046-2025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45947</v>
      </c>
      <c r="E427" s="1" t="n">
        <v>46295</v>
      </c>
      <c r="F427" t="inlineStr">
        <is>
          <t>VÄSTRA GÖTALANDS LÄN</t>
        </is>
      </c>
      <c r="G427" t="inlineStr">
        <is>
          <t>ULRICEHAMN</t>
        </is>
      </c>
      <c r="I427" t="n">
        <v>3.7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3251-2023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44947</v>
      </c>
      <c r="E428" s="1" t="n">
        <v>46295</v>
      </c>
      <c r="F428" t="inlineStr">
        <is>
          <t>VÄSTRA GÖTALANDS LÄN</t>
        </is>
      </c>
      <c r="G428" t="inlineStr">
        <is>
          <t>ULRICEHAMN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5190-2023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44959</v>
      </c>
      <c r="E429" s="1" t="n">
        <v>46295</v>
      </c>
      <c r="F429" t="inlineStr">
        <is>
          <t>VÄSTRA GÖTALANDS LÄN</t>
        </is>
      </c>
      <c r="G429" t="inlineStr">
        <is>
          <t>ULRICEHAMN</t>
        </is>
      </c>
      <c r="I429" t="n">
        <v>0.9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7386-2023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44971</v>
      </c>
      <c r="E430" s="1" t="n">
        <v>46295</v>
      </c>
      <c r="F430" t="inlineStr">
        <is>
          <t>VÄSTRA GÖTALANDS LÄN</t>
        </is>
      </c>
      <c r="G430" t="inlineStr">
        <is>
          <t>ULRICEHAMN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20418-2026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46140</v>
      </c>
      <c r="E431" s="1" t="n">
        <v>46295</v>
      </c>
      <c r="F431" t="inlineStr">
        <is>
          <t>VÄSTRA GÖTALANDS LÄN</t>
        </is>
      </c>
      <c r="G431" t="inlineStr">
        <is>
          <t>ULRICEHAMN</t>
        </is>
      </c>
      <c r="I431" t="n">
        <v>0.5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37499-2023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45157</v>
      </c>
      <c r="E432" s="1" t="n">
        <v>46295</v>
      </c>
      <c r="F432" t="inlineStr">
        <is>
          <t>VÄSTRA GÖTALANDS LÄN</t>
        </is>
      </c>
      <c r="G432" t="inlineStr">
        <is>
          <t>ULRICEHAMN</t>
        </is>
      </c>
      <c r="I432" t="n">
        <v>7.7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55448-2023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45231</v>
      </c>
      <c r="E433" s="1" t="n">
        <v>46295</v>
      </c>
      <c r="F433" t="inlineStr">
        <is>
          <t>VÄSTRA GÖTALANDS LÄN</t>
        </is>
      </c>
      <c r="G433" t="inlineStr">
        <is>
          <t>ULRICEHAMN</t>
        </is>
      </c>
      <c r="I433" t="n">
        <v>14.7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6438-2024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45338</v>
      </c>
      <c r="E434" s="1" t="n">
        <v>46295</v>
      </c>
      <c r="F434" t="inlineStr">
        <is>
          <t>VÄSTRA GÖTALANDS LÄN</t>
        </is>
      </c>
      <c r="G434" t="inlineStr">
        <is>
          <t>ULRICEHAMN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33890-2023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45134</v>
      </c>
      <c r="E435" s="1" t="n">
        <v>46295</v>
      </c>
      <c r="F435" t="inlineStr">
        <is>
          <t>VÄSTRA GÖTALANDS LÄN</t>
        </is>
      </c>
      <c r="G435" t="inlineStr">
        <is>
          <t>ULRICEHAMN</t>
        </is>
      </c>
      <c r="I435" t="n">
        <v>3.6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31940-2025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45835</v>
      </c>
      <c r="E436" s="1" t="n">
        <v>46295</v>
      </c>
      <c r="F436" t="inlineStr">
        <is>
          <t>VÄSTRA GÖTALANDS LÄN</t>
        </is>
      </c>
      <c r="G436" t="inlineStr">
        <is>
          <t>ULRICEHAMN</t>
        </is>
      </c>
      <c r="I436" t="n">
        <v>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42400-2023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45180</v>
      </c>
      <c r="E437" s="1" t="n">
        <v>46295</v>
      </c>
      <c r="F437" t="inlineStr">
        <is>
          <t>VÄSTRA GÖTALANDS LÄN</t>
        </is>
      </c>
      <c r="G437" t="inlineStr">
        <is>
          <t>ULRICEHAMN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25173-2023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45086</v>
      </c>
      <c r="E438" s="1" t="n">
        <v>46295</v>
      </c>
      <c r="F438" t="inlineStr">
        <is>
          <t>VÄSTRA GÖTALANDS LÄN</t>
        </is>
      </c>
      <c r="G438" t="inlineStr">
        <is>
          <t>ULRICEHAMN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30057-2025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45826</v>
      </c>
      <c r="E439" s="1" t="n">
        <v>46295</v>
      </c>
      <c r="F439" t="inlineStr">
        <is>
          <t>VÄSTRA GÖTALANDS LÄN</t>
        </is>
      </c>
      <c r="G439" t="inlineStr">
        <is>
          <t>ULRICEHAMN</t>
        </is>
      </c>
      <c r="I439" t="n">
        <v>0.8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60409-2024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45643</v>
      </c>
      <c r="E440" s="1" t="n">
        <v>46295</v>
      </c>
      <c r="F440" t="inlineStr">
        <is>
          <t>VÄSTRA GÖTALANDS LÄN</t>
        </is>
      </c>
      <c r="G440" t="inlineStr">
        <is>
          <t>ULRICEHAMN</t>
        </is>
      </c>
      <c r="I440" t="n">
        <v>10.7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53088-2023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45227</v>
      </c>
      <c r="E441" s="1" t="n">
        <v>46295</v>
      </c>
      <c r="F441" t="inlineStr">
        <is>
          <t>VÄSTRA GÖTALANDS LÄN</t>
        </is>
      </c>
      <c r="G441" t="inlineStr">
        <is>
          <t>ULRICEHAMN</t>
        </is>
      </c>
      <c r="I441" t="n">
        <v>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15120-2024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45399</v>
      </c>
      <c r="E442" s="1" t="n">
        <v>46295</v>
      </c>
      <c r="F442" t="inlineStr">
        <is>
          <t>VÄSTRA GÖTALANDS LÄN</t>
        </is>
      </c>
      <c r="G442" t="inlineStr">
        <is>
          <t>ULRICEHAMN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24301-2025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45797</v>
      </c>
      <c r="E443" s="1" t="n">
        <v>46295</v>
      </c>
      <c r="F443" t="inlineStr">
        <is>
          <t>VÄSTRA GÖTALANDS LÄN</t>
        </is>
      </c>
      <c r="G443" t="inlineStr">
        <is>
          <t>ULRICEHAMN</t>
        </is>
      </c>
      <c r="H443" t="inlineStr">
        <is>
          <t>Sveaskog</t>
        </is>
      </c>
      <c r="I443" t="n">
        <v>0.8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59749-2025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45992</v>
      </c>
      <c r="E444" s="1" t="n">
        <v>46295</v>
      </c>
      <c r="F444" t="inlineStr">
        <is>
          <t>VÄSTRA GÖTALANDS LÄN</t>
        </is>
      </c>
      <c r="G444" t="inlineStr">
        <is>
          <t>ULRICEHAMN</t>
        </is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43943-2023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45187</v>
      </c>
      <c r="E445" s="1" t="n">
        <v>46295</v>
      </c>
      <c r="F445" t="inlineStr">
        <is>
          <t>VÄSTRA GÖTALANDS LÄN</t>
        </is>
      </c>
      <c r="G445" t="inlineStr">
        <is>
          <t>ULRICEHAMN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18569-2023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45043</v>
      </c>
      <c r="E446" s="1" t="n">
        <v>46295</v>
      </c>
      <c r="F446" t="inlineStr">
        <is>
          <t>VÄSTRA GÖTALANDS LÄN</t>
        </is>
      </c>
      <c r="G446" t="inlineStr">
        <is>
          <t>ULRICEHAMN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4284-2024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45324</v>
      </c>
      <c r="E447" s="1" t="n">
        <v>46295</v>
      </c>
      <c r="F447" t="inlineStr">
        <is>
          <t>VÄSTRA GÖTALANDS LÄN</t>
        </is>
      </c>
      <c r="G447" t="inlineStr">
        <is>
          <t>ULRICEHAMN</t>
        </is>
      </c>
      <c r="H447" t="inlineStr">
        <is>
          <t>Kyrkan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14660-2026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46101</v>
      </c>
      <c r="E448" s="1" t="n">
        <v>46295</v>
      </c>
      <c r="F448" t="inlineStr">
        <is>
          <t>VÄSTRA GÖTALANDS LÄN</t>
        </is>
      </c>
      <c r="G448" t="inlineStr">
        <is>
          <t>ULRICEHAMN</t>
        </is>
      </c>
      <c r="I448" t="n">
        <v>2.7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38587-2023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45162</v>
      </c>
      <c r="E449" s="1" t="n">
        <v>46295</v>
      </c>
      <c r="F449" t="inlineStr">
        <is>
          <t>VÄSTRA GÖTALANDS LÄN</t>
        </is>
      </c>
      <c r="G449" t="inlineStr">
        <is>
          <t>ULRICEHAMN</t>
        </is>
      </c>
      <c r="I449" t="n">
        <v>3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38775-2023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45163</v>
      </c>
      <c r="E450" s="1" t="n">
        <v>46295</v>
      </c>
      <c r="F450" t="inlineStr">
        <is>
          <t>VÄSTRA GÖTALANDS LÄN</t>
        </is>
      </c>
      <c r="G450" t="inlineStr">
        <is>
          <t>ULRICEHAMN</t>
        </is>
      </c>
      <c r="I450" t="n">
        <v>0.7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38563-2023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45162</v>
      </c>
      <c r="E451" s="1" t="n">
        <v>46295</v>
      </c>
      <c r="F451" t="inlineStr">
        <is>
          <t>VÄSTRA GÖTALANDS LÄN</t>
        </is>
      </c>
      <c r="G451" t="inlineStr">
        <is>
          <t>ULRICEHAMN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45659</v>
      </c>
      <c r="E452" s="1" t="n">
        <v>46295</v>
      </c>
      <c r="F452" t="inlineStr">
        <is>
          <t>VÄSTRA GÖTALANDS LÄN</t>
        </is>
      </c>
      <c r="G452" t="inlineStr">
        <is>
          <t>ULRICEHAMN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46947-2024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45585</v>
      </c>
      <c r="E453" s="1" t="n">
        <v>46295</v>
      </c>
      <c r="F453" t="inlineStr">
        <is>
          <t>VÄSTRA GÖTALANDS LÄN</t>
        </is>
      </c>
      <c r="G453" t="inlineStr">
        <is>
          <t>ULRICEHAMN</t>
        </is>
      </c>
      <c r="I453" t="n">
        <v>0.7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21071-2026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46146</v>
      </c>
      <c r="E454" s="1" t="n">
        <v>46295</v>
      </c>
      <c r="F454" t="inlineStr">
        <is>
          <t>VÄSTRA GÖTALANDS LÄN</t>
        </is>
      </c>
      <c r="G454" t="inlineStr">
        <is>
          <t>ULRICEHAMN</t>
        </is>
      </c>
      <c r="I454" t="n">
        <v>3.9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55364-2024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45621</v>
      </c>
      <c r="E455" s="1" t="n">
        <v>46295</v>
      </c>
      <c r="F455" t="inlineStr">
        <is>
          <t>VÄSTRA GÖTALANDS LÄN</t>
        </is>
      </c>
      <c r="G455" t="inlineStr">
        <is>
          <t>ULRICEHAMN</t>
        </is>
      </c>
      <c r="I455" t="n">
        <v>0.2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51723-2024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45607</v>
      </c>
      <c r="E456" s="1" t="n">
        <v>46295</v>
      </c>
      <c r="F456" t="inlineStr">
        <is>
          <t>VÄSTRA GÖTALANDS LÄN</t>
        </is>
      </c>
      <c r="G456" t="inlineStr">
        <is>
          <t>ULRICEHAMN</t>
        </is>
      </c>
      <c r="I456" t="n">
        <v>1.5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20891-2023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45059</v>
      </c>
      <c r="E457" s="1" t="n">
        <v>46295</v>
      </c>
      <c r="F457" t="inlineStr">
        <is>
          <t>VÄSTRA GÖTALANDS LÄN</t>
        </is>
      </c>
      <c r="G457" t="inlineStr">
        <is>
          <t>ULRICEHAMN</t>
        </is>
      </c>
      <c r="I457" t="n">
        <v>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20891-2023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45059</v>
      </c>
      <c r="E458" s="1" t="n">
        <v>46295</v>
      </c>
      <c r="F458" t="inlineStr">
        <is>
          <t>VÄSTRA GÖTALANDS LÄN</t>
        </is>
      </c>
      <c r="G458" t="inlineStr">
        <is>
          <t>ULRICEHAMN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15736-2022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44663</v>
      </c>
      <c r="E459" s="1" t="n">
        <v>46295</v>
      </c>
      <c r="F459" t="inlineStr">
        <is>
          <t>VÄSTRA GÖTALANDS LÄN</t>
        </is>
      </c>
      <c r="G459" t="inlineStr">
        <is>
          <t>ULRICEHAMN</t>
        </is>
      </c>
      <c r="I459" t="n">
        <v>1.2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12169-2024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45377</v>
      </c>
      <c r="E460" s="1" t="n">
        <v>46295</v>
      </c>
      <c r="F460" t="inlineStr">
        <is>
          <t>VÄSTRA GÖTALANDS LÄN</t>
        </is>
      </c>
      <c r="G460" t="inlineStr">
        <is>
          <t>ULRICEHAMN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12170-2024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45377</v>
      </c>
      <c r="E461" s="1" t="n">
        <v>46295</v>
      </c>
      <c r="F461" t="inlineStr">
        <is>
          <t>VÄSTRA GÖTALANDS LÄN</t>
        </is>
      </c>
      <c r="G461" t="inlineStr">
        <is>
          <t>ULRICEHAMN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12173-2024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45377</v>
      </c>
      <c r="E462" s="1" t="n">
        <v>46295</v>
      </c>
      <c r="F462" t="inlineStr">
        <is>
          <t>VÄSTRA GÖTALANDS LÄN</t>
        </is>
      </c>
      <c r="G462" t="inlineStr">
        <is>
          <t>ULRICEHAMN</t>
        </is>
      </c>
      <c r="I462" t="n">
        <v>2.1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27255-2024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45471</v>
      </c>
      <c r="E463" s="1" t="n">
        <v>46295</v>
      </c>
      <c r="F463" t="inlineStr">
        <is>
          <t>VÄSTRA GÖTALANDS LÄN</t>
        </is>
      </c>
      <c r="G463" t="inlineStr">
        <is>
          <t>ULRICEHAMN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40996-2024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45558</v>
      </c>
      <c r="E464" s="1" t="n">
        <v>46295</v>
      </c>
      <c r="F464" t="inlineStr">
        <is>
          <t>VÄSTRA GÖTALANDS LÄN</t>
        </is>
      </c>
      <c r="G464" t="inlineStr">
        <is>
          <t>ULRICEHAMN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21878-2026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46150</v>
      </c>
      <c r="E465" s="1" t="n">
        <v>46295</v>
      </c>
      <c r="F465" t="inlineStr">
        <is>
          <t>VÄSTRA GÖTALANDS LÄN</t>
        </is>
      </c>
      <c r="G465" t="inlineStr">
        <is>
          <t>ULRICEHAMN</t>
        </is>
      </c>
      <c r="I465" t="n">
        <v>4.5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74199-2021</t>
        </is>
      </c>
      <c r="B466" t="inlineStr">
        <is>
          <t>avverkningsanmälan</t>
        </is>
      </c>
      <c r="C466" t="inlineStr">
        <is>
          <t>Avverkning för annat ändamål</t>
        </is>
      </c>
      <c r="D466" s="1" t="n">
        <v>44558</v>
      </c>
      <c r="E466" s="1" t="n">
        <v>46295</v>
      </c>
      <c r="F466" t="inlineStr">
        <is>
          <t>VÄSTRA GÖTALANDS LÄN</t>
        </is>
      </c>
      <c r="G466" t="inlineStr">
        <is>
          <t>ULRICEHAMN</t>
        </is>
      </c>
      <c r="I466" t="n">
        <v>0.5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45139-2023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45191</v>
      </c>
      <c r="E467" s="1" t="n">
        <v>46295</v>
      </c>
      <c r="F467" t="inlineStr">
        <is>
          <t>VÄSTRA GÖTALANDS LÄN</t>
        </is>
      </c>
      <c r="G467" t="inlineStr">
        <is>
          <t>ULRICEHAMN</t>
        </is>
      </c>
      <c r="I467" t="n">
        <v>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4772-2024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45328</v>
      </c>
      <c r="E468" s="1" t="n">
        <v>46295</v>
      </c>
      <c r="F468" t="inlineStr">
        <is>
          <t>VÄSTRA GÖTALANDS LÄN</t>
        </is>
      </c>
      <c r="G468" t="inlineStr">
        <is>
          <t>ULRICEHAMN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7526-2022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44607</v>
      </c>
      <c r="E469" s="1" t="n">
        <v>46295</v>
      </c>
      <c r="F469" t="inlineStr">
        <is>
          <t>VÄSTRA GÖTALANDS LÄN</t>
        </is>
      </c>
      <c r="G469" t="inlineStr">
        <is>
          <t>ULRICEHAMN</t>
        </is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7528-2022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44607</v>
      </c>
      <c r="E470" s="1" t="n">
        <v>46295</v>
      </c>
      <c r="F470" t="inlineStr">
        <is>
          <t>VÄSTRA GÖTALANDS LÄN</t>
        </is>
      </c>
      <c r="G470" t="inlineStr">
        <is>
          <t>ULRICEHAMN</t>
        </is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64733-2023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45281</v>
      </c>
      <c r="E471" s="1" t="n">
        <v>46295</v>
      </c>
      <c r="F471" t="inlineStr">
        <is>
          <t>VÄSTRA GÖTALANDS LÄN</t>
        </is>
      </c>
      <c r="G471" t="inlineStr">
        <is>
          <t>ULRICEHAMN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30664-2022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44763</v>
      </c>
      <c r="E472" s="1" t="n">
        <v>46295</v>
      </c>
      <c r="F472" t="inlineStr">
        <is>
          <t>VÄSTRA GÖTALANDS LÄN</t>
        </is>
      </c>
      <c r="G472" t="inlineStr">
        <is>
          <t>ULRICEHAMN</t>
        </is>
      </c>
      <c r="I472" t="n">
        <v>6.3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16990-2024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45412</v>
      </c>
      <c r="E473" s="1" t="n">
        <v>46295</v>
      </c>
      <c r="F473" t="inlineStr">
        <is>
          <t>VÄSTRA GÖTALANDS LÄN</t>
        </is>
      </c>
      <c r="G473" t="inlineStr">
        <is>
          <t>ULRICEHAMN</t>
        </is>
      </c>
      <c r="I473" t="n">
        <v>0.9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51161-2024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45603</v>
      </c>
      <c r="E474" s="1" t="n">
        <v>46295</v>
      </c>
      <c r="F474" t="inlineStr">
        <is>
          <t>VÄSTRA GÖTALANDS LÄN</t>
        </is>
      </c>
      <c r="G474" t="inlineStr">
        <is>
          <t>ULRICEHAMN</t>
        </is>
      </c>
      <c r="H474" t="inlineStr">
        <is>
          <t>Kommuner</t>
        </is>
      </c>
      <c r="I474" t="n">
        <v>1.1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3110-2024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45316</v>
      </c>
      <c r="E475" s="1" t="n">
        <v>46295</v>
      </c>
      <c r="F475" t="inlineStr">
        <is>
          <t>VÄSTRA GÖTALANDS LÄN</t>
        </is>
      </c>
      <c r="G475" t="inlineStr">
        <is>
          <t>ULRICEHAMN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52717-2023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45225</v>
      </c>
      <c r="E476" s="1" t="n">
        <v>46295</v>
      </c>
      <c r="F476" t="inlineStr">
        <is>
          <t>VÄSTRA GÖTALANDS LÄN</t>
        </is>
      </c>
      <c r="G476" t="inlineStr">
        <is>
          <t>ULRICEHAMN</t>
        </is>
      </c>
      <c r="I476" t="n">
        <v>0.5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42677-2023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45181</v>
      </c>
      <c r="E477" s="1" t="n">
        <v>46295</v>
      </c>
      <c r="F477" t="inlineStr">
        <is>
          <t>VÄSTRA GÖTALANDS LÄN</t>
        </is>
      </c>
      <c r="G477" t="inlineStr">
        <is>
          <t>ULRICEHAMN</t>
        </is>
      </c>
      <c r="I477" t="n">
        <v>0.3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7267-2024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45344</v>
      </c>
      <c r="E478" s="1" t="n">
        <v>46295</v>
      </c>
      <c r="F478" t="inlineStr">
        <is>
          <t>VÄSTRA GÖTALANDS LÄN</t>
        </is>
      </c>
      <c r="G478" t="inlineStr">
        <is>
          <t>ULRICEHAMN</t>
        </is>
      </c>
      <c r="I478" t="n">
        <v>0.8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40988-2023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45173</v>
      </c>
      <c r="E479" s="1" t="n">
        <v>46295</v>
      </c>
      <c r="F479" t="inlineStr">
        <is>
          <t>VÄSTRA GÖTALANDS LÄN</t>
        </is>
      </c>
      <c r="G479" t="inlineStr">
        <is>
          <t>ULRICEHAMN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39145-2023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45166</v>
      </c>
      <c r="E480" s="1" t="n">
        <v>46295</v>
      </c>
      <c r="F480" t="inlineStr">
        <is>
          <t>VÄSTRA GÖTALANDS LÄN</t>
        </is>
      </c>
      <c r="G480" t="inlineStr">
        <is>
          <t>ULRICEHAMN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46910-2023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45201</v>
      </c>
      <c r="E481" s="1" t="n">
        <v>46295</v>
      </c>
      <c r="F481" t="inlineStr">
        <is>
          <t>VÄSTRA GÖTALANDS LÄN</t>
        </is>
      </c>
      <c r="G481" t="inlineStr">
        <is>
          <t>ULRICEHAMN</t>
        </is>
      </c>
      <c r="I481" t="n">
        <v>1.1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45478-2023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45194</v>
      </c>
      <c r="E482" s="1" t="n">
        <v>46295</v>
      </c>
      <c r="F482" t="inlineStr">
        <is>
          <t>VÄSTRA GÖTALANDS LÄN</t>
        </is>
      </c>
      <c r="G482" t="inlineStr">
        <is>
          <t>ULRICEHAMN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45479-2023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45194</v>
      </c>
      <c r="E483" s="1" t="n">
        <v>46295</v>
      </c>
      <c r="F483" t="inlineStr">
        <is>
          <t>VÄSTRA GÖTALANDS LÄN</t>
        </is>
      </c>
      <c r="G483" t="inlineStr">
        <is>
          <t>ULRICEHAMN</t>
        </is>
      </c>
      <c r="I483" t="n">
        <v>1.5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39473-2023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45166</v>
      </c>
      <c r="E484" s="1" t="n">
        <v>46295</v>
      </c>
      <c r="F484" t="inlineStr">
        <is>
          <t>VÄSTRA GÖTALANDS LÄN</t>
        </is>
      </c>
      <c r="G484" t="inlineStr">
        <is>
          <t>ULRICEHAMN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39476-2023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45166</v>
      </c>
      <c r="E485" s="1" t="n">
        <v>46295</v>
      </c>
      <c r="F485" t="inlineStr">
        <is>
          <t>VÄSTRA GÖTALANDS LÄN</t>
        </is>
      </c>
      <c r="G485" t="inlineStr">
        <is>
          <t>ULRICEHAMN</t>
        </is>
      </c>
      <c r="I485" t="n">
        <v>2.3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12934-2022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44642</v>
      </c>
      <c r="E486" s="1" t="n">
        <v>46295</v>
      </c>
      <c r="F486" t="inlineStr">
        <is>
          <t>VÄSTRA GÖTALANDS LÄN</t>
        </is>
      </c>
      <c r="G486" t="inlineStr">
        <is>
          <t>ULRICEHAMN</t>
        </is>
      </c>
      <c r="I486" t="n">
        <v>4.3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39464-2023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45166</v>
      </c>
      <c r="E487" s="1" t="n">
        <v>46295</v>
      </c>
      <c r="F487" t="inlineStr">
        <is>
          <t>VÄSTRA GÖTALANDS LÄN</t>
        </is>
      </c>
      <c r="G487" t="inlineStr">
        <is>
          <t>ULRICEHAMN</t>
        </is>
      </c>
      <c r="I487" t="n">
        <v>3.7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53825-2025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45961</v>
      </c>
      <c r="E488" s="1" t="n">
        <v>46295</v>
      </c>
      <c r="F488" t="inlineStr">
        <is>
          <t>VÄSTRA GÖTALANDS LÄN</t>
        </is>
      </c>
      <c r="G488" t="inlineStr">
        <is>
          <t>ULRICEHAMN</t>
        </is>
      </c>
      <c r="I488" t="n">
        <v>4.3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12551-2022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44638</v>
      </c>
      <c r="E489" s="1" t="n">
        <v>46295</v>
      </c>
      <c r="F489" t="inlineStr">
        <is>
          <t>VÄSTRA GÖTALANDS LÄN</t>
        </is>
      </c>
      <c r="G489" t="inlineStr">
        <is>
          <t>ULRICEHAMN</t>
        </is>
      </c>
      <c r="H489" t="inlineStr">
        <is>
          <t>Kommuner</t>
        </is>
      </c>
      <c r="I489" t="n">
        <v>5.8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12553-2022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44638</v>
      </c>
      <c r="E490" s="1" t="n">
        <v>46295</v>
      </c>
      <c r="F490" t="inlineStr">
        <is>
          <t>VÄSTRA GÖTALANDS LÄN</t>
        </is>
      </c>
      <c r="G490" t="inlineStr">
        <is>
          <t>ULRICEHAMN</t>
        </is>
      </c>
      <c r="H490" t="inlineStr">
        <is>
          <t>Kommuner</t>
        </is>
      </c>
      <c r="I490" t="n">
        <v>2.5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53829-2023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45231</v>
      </c>
      <c r="E491" s="1" t="n">
        <v>46295</v>
      </c>
      <c r="F491" t="inlineStr">
        <is>
          <t>VÄSTRA GÖTALANDS LÄN</t>
        </is>
      </c>
      <c r="G491" t="inlineStr">
        <is>
          <t>ULRICEHAMN</t>
        </is>
      </c>
      <c r="H491" t="inlineStr">
        <is>
          <t>Kommuner</t>
        </is>
      </c>
      <c r="I491" t="n">
        <v>4.4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5117-2025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45691</v>
      </c>
      <c r="E492" s="1" t="n">
        <v>46295</v>
      </c>
      <c r="F492" t="inlineStr">
        <is>
          <t>VÄSTRA GÖTALANDS LÄN</t>
        </is>
      </c>
      <c r="G492" t="inlineStr">
        <is>
          <t>ULRICEHAMN</t>
        </is>
      </c>
      <c r="I492" t="n">
        <v>0.3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46837-2023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45199</v>
      </c>
      <c r="E493" s="1" t="n">
        <v>46295</v>
      </c>
      <c r="F493" t="inlineStr">
        <is>
          <t>VÄSTRA GÖTALANDS LÄN</t>
        </is>
      </c>
      <c r="G493" t="inlineStr">
        <is>
          <t>ULRICEHAMN</t>
        </is>
      </c>
      <c r="I493" t="n">
        <v>5.5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43873-2023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45187</v>
      </c>
      <c r="E494" s="1" t="n">
        <v>46295</v>
      </c>
      <c r="F494" t="inlineStr">
        <is>
          <t>VÄSTRA GÖTALANDS LÄN</t>
        </is>
      </c>
      <c r="G494" t="inlineStr">
        <is>
          <t>ULRICEHAMN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41572-2024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45560</v>
      </c>
      <c r="E495" s="1" t="n">
        <v>46295</v>
      </c>
      <c r="F495" t="inlineStr">
        <is>
          <t>VÄSTRA GÖTALANDS LÄN</t>
        </is>
      </c>
      <c r="G495" t="inlineStr">
        <is>
          <t>ULRICEHAMN</t>
        </is>
      </c>
      <c r="I495" t="n">
        <v>1.4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18919-2024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45427</v>
      </c>
      <c r="E496" s="1" t="n">
        <v>46295</v>
      </c>
      <c r="F496" t="inlineStr">
        <is>
          <t>VÄSTRA GÖTALANDS LÄN</t>
        </is>
      </c>
      <c r="G496" t="inlineStr">
        <is>
          <t>ULRICEHAMN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27865-2023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45098</v>
      </c>
      <c r="E497" s="1" t="n">
        <v>46295</v>
      </c>
      <c r="F497" t="inlineStr">
        <is>
          <t>VÄSTRA GÖTALANDS LÄN</t>
        </is>
      </c>
      <c r="G497" t="inlineStr">
        <is>
          <t>ULRICEHAMN</t>
        </is>
      </c>
      <c r="I497" t="n">
        <v>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19038-2024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45427</v>
      </c>
      <c r="E498" s="1" t="n">
        <v>46295</v>
      </c>
      <c r="F498" t="inlineStr">
        <is>
          <t>VÄSTRA GÖTALANDS LÄN</t>
        </is>
      </c>
      <c r="G498" t="inlineStr">
        <is>
          <t>ULRICEHAMN</t>
        </is>
      </c>
      <c r="I498" t="n">
        <v>1.7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943-2025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45666</v>
      </c>
      <c r="E499" s="1" t="n">
        <v>46295</v>
      </c>
      <c r="F499" t="inlineStr">
        <is>
          <t>VÄSTRA GÖTALANDS LÄN</t>
        </is>
      </c>
      <c r="G499" t="inlineStr">
        <is>
          <t>ULRICEHAMN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2664-2025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45676</v>
      </c>
      <c r="E500" s="1" t="n">
        <v>46295</v>
      </c>
      <c r="F500" t="inlineStr">
        <is>
          <t>VÄSTRA GÖTALANDS LÄN</t>
        </is>
      </c>
      <c r="G500" t="inlineStr">
        <is>
          <t>ULRICEHAMN</t>
        </is>
      </c>
      <c r="I500" t="n">
        <v>0.9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39454-2023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45166</v>
      </c>
      <c r="E501" s="1" t="n">
        <v>46295</v>
      </c>
      <c r="F501" t="inlineStr">
        <is>
          <t>VÄSTRA GÖTALANDS LÄN</t>
        </is>
      </c>
      <c r="G501" t="inlineStr">
        <is>
          <t>ULRICEHAMN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8608-2025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45710</v>
      </c>
      <c r="E502" s="1" t="n">
        <v>46295</v>
      </c>
      <c r="F502" t="inlineStr">
        <is>
          <t>VÄSTRA GÖTALANDS LÄN</t>
        </is>
      </c>
      <c r="G502" t="inlineStr">
        <is>
          <t>ULRICEHAMN</t>
        </is>
      </c>
      <c r="I502" t="n">
        <v>0.5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34766-2023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45140</v>
      </c>
      <c r="E503" s="1" t="n">
        <v>46295</v>
      </c>
      <c r="F503" t="inlineStr">
        <is>
          <t>VÄSTRA GÖTALANDS LÄN</t>
        </is>
      </c>
      <c r="G503" t="inlineStr">
        <is>
          <t>ULRICEHAMN</t>
        </is>
      </c>
      <c r="I503" t="n">
        <v>17.6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34771-2023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45140</v>
      </c>
      <c r="E504" s="1" t="n">
        <v>46295</v>
      </c>
      <c r="F504" t="inlineStr">
        <is>
          <t>VÄSTRA GÖTALANDS LÄN</t>
        </is>
      </c>
      <c r="G504" t="inlineStr">
        <is>
          <t>ULRICEHAMN</t>
        </is>
      </c>
      <c r="I504" t="n">
        <v>2.7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34773-2023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45140</v>
      </c>
      <c r="E505" s="1" t="n">
        <v>46295</v>
      </c>
      <c r="F505" t="inlineStr">
        <is>
          <t>VÄSTRA GÖTALANDS LÄN</t>
        </is>
      </c>
      <c r="G505" t="inlineStr">
        <is>
          <t>ULRICEHAMN</t>
        </is>
      </c>
      <c r="I505" t="n">
        <v>4.5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45647-2022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44845</v>
      </c>
      <c r="E506" s="1" t="n">
        <v>46295</v>
      </c>
      <c r="F506" t="inlineStr">
        <is>
          <t>VÄSTRA GÖTALANDS LÄN</t>
        </is>
      </c>
      <c r="G506" t="inlineStr">
        <is>
          <t>ULRICEHAMN</t>
        </is>
      </c>
      <c r="I506" t="n">
        <v>1.8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15180-2022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44658</v>
      </c>
      <c r="E507" s="1" t="n">
        <v>46295</v>
      </c>
      <c r="F507" t="inlineStr">
        <is>
          <t>VÄSTRA GÖTALANDS LÄN</t>
        </is>
      </c>
      <c r="G507" t="inlineStr">
        <is>
          <t>ULRICEHAMN</t>
        </is>
      </c>
      <c r="I507" t="n">
        <v>1.6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56670-2024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45626</v>
      </c>
      <c r="E508" s="1" t="n">
        <v>46295</v>
      </c>
      <c r="F508" t="inlineStr">
        <is>
          <t>VÄSTRA GÖTALANDS LÄN</t>
        </is>
      </c>
      <c r="G508" t="inlineStr">
        <is>
          <t>ULRICEHAMN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56672-2024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45626</v>
      </c>
      <c r="E509" s="1" t="n">
        <v>46295</v>
      </c>
      <c r="F509" t="inlineStr">
        <is>
          <t>VÄSTRA GÖTALANDS LÄN</t>
        </is>
      </c>
      <c r="G509" t="inlineStr">
        <is>
          <t>ULRICEHAMN</t>
        </is>
      </c>
      <c r="I509" t="n">
        <v>4.6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56676-2024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45626</v>
      </c>
      <c r="E510" s="1" t="n">
        <v>46295</v>
      </c>
      <c r="F510" t="inlineStr">
        <is>
          <t>VÄSTRA GÖTALANDS LÄN</t>
        </is>
      </c>
      <c r="G510" t="inlineStr">
        <is>
          <t>ULRICEHAMN</t>
        </is>
      </c>
      <c r="I510" t="n">
        <v>1.3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54405-2023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45233</v>
      </c>
      <c r="E511" s="1" t="n">
        <v>46295</v>
      </c>
      <c r="F511" t="inlineStr">
        <is>
          <t>VÄSTRA GÖTALANDS LÄN</t>
        </is>
      </c>
      <c r="G511" t="inlineStr">
        <is>
          <t>ULRICEHAMN</t>
        </is>
      </c>
      <c r="I511" t="n">
        <v>5.2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3820-2025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45681</v>
      </c>
      <c r="E512" s="1" t="n">
        <v>46295</v>
      </c>
      <c r="F512" t="inlineStr">
        <is>
          <t>VÄSTRA GÖTALANDS LÄN</t>
        </is>
      </c>
      <c r="G512" t="inlineStr">
        <is>
          <t>ULRICEHAMN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9881-2024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45363</v>
      </c>
      <c r="E513" s="1" t="n">
        <v>46295</v>
      </c>
      <c r="F513" t="inlineStr">
        <is>
          <t>VÄSTRA GÖTALANDS LÄN</t>
        </is>
      </c>
      <c r="G513" t="inlineStr">
        <is>
          <t>ULRICEHAMN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24239-2026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46168</v>
      </c>
      <c r="E514" s="1" t="n">
        <v>46295</v>
      </c>
      <c r="F514" t="inlineStr">
        <is>
          <t>VÄSTRA GÖTALANDS LÄN</t>
        </is>
      </c>
      <c r="G514" t="inlineStr">
        <is>
          <t>ULRICEHAMN</t>
        </is>
      </c>
      <c r="I514" t="n">
        <v>0.9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54904-2023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45236</v>
      </c>
      <c r="E515" s="1" t="n">
        <v>46295</v>
      </c>
      <c r="F515" t="inlineStr">
        <is>
          <t>VÄSTRA GÖTALANDS LÄN</t>
        </is>
      </c>
      <c r="G515" t="inlineStr">
        <is>
          <t>ULRICEHAMN</t>
        </is>
      </c>
      <c r="I515" t="n">
        <v>0.2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54912-2023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45236</v>
      </c>
      <c r="E516" s="1" t="n">
        <v>46295</v>
      </c>
      <c r="F516" t="inlineStr">
        <is>
          <t>VÄSTRA GÖTALANDS LÄN</t>
        </is>
      </c>
      <c r="G516" t="inlineStr">
        <is>
          <t>ULRICEHAMN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46493-2023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45197</v>
      </c>
      <c r="E517" s="1" t="n">
        <v>46295</v>
      </c>
      <c r="F517" t="inlineStr">
        <is>
          <t>VÄSTRA GÖTALANDS LÄN</t>
        </is>
      </c>
      <c r="G517" t="inlineStr">
        <is>
          <t>ULRICEHAMN</t>
        </is>
      </c>
      <c r="H517" t="inlineStr">
        <is>
          <t>Sveaskog</t>
        </is>
      </c>
      <c r="I517" t="n">
        <v>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56793-2023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45244</v>
      </c>
      <c r="E518" s="1" t="n">
        <v>46295</v>
      </c>
      <c r="F518" t="inlineStr">
        <is>
          <t>VÄSTRA GÖTALANDS LÄN</t>
        </is>
      </c>
      <c r="G518" t="inlineStr">
        <is>
          <t>ULRICEHAMN</t>
        </is>
      </c>
      <c r="I518" t="n">
        <v>0.7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49506-2023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45211</v>
      </c>
      <c r="E519" s="1" t="n">
        <v>46295</v>
      </c>
      <c r="F519" t="inlineStr">
        <is>
          <t>VÄSTRA GÖTALANDS LÄN</t>
        </is>
      </c>
      <c r="G519" t="inlineStr">
        <is>
          <t>ULRICEHAMN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17999-2026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46125</v>
      </c>
      <c r="E520" s="1" t="n">
        <v>46295</v>
      </c>
      <c r="F520" t="inlineStr">
        <is>
          <t>VÄSTRA GÖTALANDS LÄN</t>
        </is>
      </c>
      <c r="G520" t="inlineStr">
        <is>
          <t>ULRICEHAMN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4203-2025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45685</v>
      </c>
      <c r="E521" s="1" t="n">
        <v>46295</v>
      </c>
      <c r="F521" t="inlineStr">
        <is>
          <t>VÄSTRA GÖTALANDS LÄN</t>
        </is>
      </c>
      <c r="G521" t="inlineStr">
        <is>
          <t>ULRICEHAMN</t>
        </is>
      </c>
      <c r="I521" t="n">
        <v>6.3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19864-2025</t>
        </is>
      </c>
      <c r="B522" t="inlineStr">
        <is>
          <t>avverkningsanmälan</t>
        </is>
      </c>
      <c r="C522" t="inlineStr">
        <is>
          <t>Avverkning för annat ändamål</t>
        </is>
      </c>
      <c r="D522" s="1" t="n">
        <v>45771</v>
      </c>
      <c r="E522" s="1" t="n">
        <v>46295</v>
      </c>
      <c r="F522" t="inlineStr">
        <is>
          <t>VÄSTRA GÖTALANDS LÄN</t>
        </is>
      </c>
      <c r="G522" t="inlineStr">
        <is>
          <t>ULRICEHAMN</t>
        </is>
      </c>
      <c r="I522" t="n">
        <v>2.3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18296-2022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44685</v>
      </c>
      <c r="E523" s="1" t="n">
        <v>46295</v>
      </c>
      <c r="F523" t="inlineStr">
        <is>
          <t>VÄSTRA GÖTALANDS LÄN</t>
        </is>
      </c>
      <c r="G523" t="inlineStr">
        <is>
          <t>ULRICEHAMN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38539-2023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45162</v>
      </c>
      <c r="E524" s="1" t="n">
        <v>46295</v>
      </c>
      <c r="F524" t="inlineStr">
        <is>
          <t>VÄSTRA GÖTALANDS LÄN</t>
        </is>
      </c>
      <c r="G524" t="inlineStr">
        <is>
          <t>ULRICEHAMN</t>
        </is>
      </c>
      <c r="I524" t="n">
        <v>0.7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40650-2022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44824</v>
      </c>
      <c r="E525" s="1" t="n">
        <v>46295</v>
      </c>
      <c r="F525" t="inlineStr">
        <is>
          <t>VÄSTRA GÖTALANDS LÄN</t>
        </is>
      </c>
      <c r="G525" t="inlineStr">
        <is>
          <t>ULRICEHAMN</t>
        </is>
      </c>
      <c r="I525" t="n">
        <v>4.7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25643-2026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46177</v>
      </c>
      <c r="E526" s="1" t="n">
        <v>46295</v>
      </c>
      <c r="F526" t="inlineStr">
        <is>
          <t>VÄSTRA GÖTALANDS LÄN</t>
        </is>
      </c>
      <c r="G526" t="inlineStr">
        <is>
          <t>ULRICEHAMN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64794-2023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45282</v>
      </c>
      <c r="E527" s="1" t="n">
        <v>46295</v>
      </c>
      <c r="F527" t="inlineStr">
        <is>
          <t>VÄSTRA GÖTALANDS LÄN</t>
        </is>
      </c>
      <c r="G527" t="inlineStr">
        <is>
          <t>ULRICEHAMN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44463-2023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45189</v>
      </c>
      <c r="E528" s="1" t="n">
        <v>46295</v>
      </c>
      <c r="F528" t="inlineStr">
        <is>
          <t>VÄSTRA GÖTALANDS LÄN</t>
        </is>
      </c>
      <c r="G528" t="inlineStr">
        <is>
          <t>ULRICEHAMN</t>
        </is>
      </c>
      <c r="I528" t="n">
        <v>2.1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55763-2023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45239</v>
      </c>
      <c r="E529" s="1" t="n">
        <v>46295</v>
      </c>
      <c r="F529" t="inlineStr">
        <is>
          <t>VÄSTRA GÖTALANDS LÄN</t>
        </is>
      </c>
      <c r="G529" t="inlineStr">
        <is>
          <t>ULRICEHAMN</t>
        </is>
      </c>
      <c r="I529" t="n">
        <v>0.4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57854-2023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45247</v>
      </c>
      <c r="E530" s="1" t="n">
        <v>46295</v>
      </c>
      <c r="F530" t="inlineStr">
        <is>
          <t>VÄSTRA GÖTALANDS LÄN</t>
        </is>
      </c>
      <c r="G530" t="inlineStr">
        <is>
          <t>ULRICEHAMN</t>
        </is>
      </c>
      <c r="I530" t="n">
        <v>1.8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24922-2024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45461</v>
      </c>
      <c r="E531" s="1" t="n">
        <v>46295</v>
      </c>
      <c r="F531" t="inlineStr">
        <is>
          <t>VÄSTRA GÖTALANDS LÄN</t>
        </is>
      </c>
      <c r="G531" t="inlineStr">
        <is>
          <t>ULRICEHAMN</t>
        </is>
      </c>
      <c r="I531" t="n">
        <v>0.1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44930-2023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45190</v>
      </c>
      <c r="E532" s="1" t="n">
        <v>46295</v>
      </c>
      <c r="F532" t="inlineStr">
        <is>
          <t>VÄSTRA GÖTALANDS LÄN</t>
        </is>
      </c>
      <c r="G532" t="inlineStr">
        <is>
          <t>ULRICEHAMN</t>
        </is>
      </c>
      <c r="I532" t="n">
        <v>5.1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53097-2023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45227</v>
      </c>
      <c r="E533" s="1" t="n">
        <v>46295</v>
      </c>
      <c r="F533" t="inlineStr">
        <is>
          <t>VÄSTRA GÖTALANDS LÄN</t>
        </is>
      </c>
      <c r="G533" t="inlineStr">
        <is>
          <t>ULRICEHAMN</t>
        </is>
      </c>
      <c r="I533" t="n">
        <v>0.7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46310-2022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44847</v>
      </c>
      <c r="E534" s="1" t="n">
        <v>46295</v>
      </c>
      <c r="F534" t="inlineStr">
        <is>
          <t>VÄSTRA GÖTALANDS LÄN</t>
        </is>
      </c>
      <c r="G534" t="inlineStr">
        <is>
          <t>ULRICEHAMN</t>
        </is>
      </c>
      <c r="I534" t="n">
        <v>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26135-2026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46181</v>
      </c>
      <c r="E535" s="1" t="n">
        <v>46295</v>
      </c>
      <c r="F535" t="inlineStr">
        <is>
          <t>VÄSTRA GÖTALANDS LÄN</t>
        </is>
      </c>
      <c r="G535" t="inlineStr">
        <is>
          <t>ULRICEHAMN</t>
        </is>
      </c>
      <c r="I535" t="n">
        <v>3.6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26307-2026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46182</v>
      </c>
      <c r="E536" s="1" t="n">
        <v>46295</v>
      </c>
      <c r="F536" t="inlineStr">
        <is>
          <t>VÄSTRA GÖTALANDS LÄN</t>
        </is>
      </c>
      <c r="G536" t="inlineStr">
        <is>
          <t>ULRICEHAMN</t>
        </is>
      </c>
      <c r="H536" t="inlineStr">
        <is>
          <t>Sveaskog</t>
        </is>
      </c>
      <c r="I536" t="n">
        <v>5.1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5066-2022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44593</v>
      </c>
      <c r="E537" s="1" t="n">
        <v>46295</v>
      </c>
      <c r="F537" t="inlineStr">
        <is>
          <t>VÄSTRA GÖTALANDS LÄN</t>
        </is>
      </c>
      <c r="G537" t="inlineStr">
        <is>
          <t>ULRICEHAMN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26308-2026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46182</v>
      </c>
      <c r="E538" s="1" t="n">
        <v>46295</v>
      </c>
      <c r="F538" t="inlineStr">
        <is>
          <t>VÄSTRA GÖTALANDS LÄN</t>
        </is>
      </c>
      <c r="G538" t="inlineStr">
        <is>
          <t>ULRICEHAMN</t>
        </is>
      </c>
      <c r="H538" t="inlineStr">
        <is>
          <t>Sveaskog</t>
        </is>
      </c>
      <c r="I538" t="n">
        <v>3.5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31298-2022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44772</v>
      </c>
      <c r="E539" s="1" t="n">
        <v>46295</v>
      </c>
      <c r="F539" t="inlineStr">
        <is>
          <t>VÄSTRA GÖTALANDS LÄN</t>
        </is>
      </c>
      <c r="G539" t="inlineStr">
        <is>
          <t>ULRICEHAMN</t>
        </is>
      </c>
      <c r="I539" t="n">
        <v>2.6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59990-2023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45257</v>
      </c>
      <c r="E540" s="1" t="n">
        <v>46295</v>
      </c>
      <c r="F540" t="inlineStr">
        <is>
          <t>VÄSTRA GÖTALANDS LÄN</t>
        </is>
      </c>
      <c r="G540" t="inlineStr">
        <is>
          <t>ULRICEHAMN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55264-2023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45237</v>
      </c>
      <c r="E541" s="1" t="n">
        <v>46295</v>
      </c>
      <c r="F541" t="inlineStr">
        <is>
          <t>VÄSTRA GÖTALANDS LÄN</t>
        </is>
      </c>
      <c r="G541" t="inlineStr">
        <is>
          <t>ULRICEHAMN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8977-2024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45357</v>
      </c>
      <c r="E542" s="1" t="n">
        <v>46295</v>
      </c>
      <c r="F542" t="inlineStr">
        <is>
          <t>VÄSTRA GÖTALANDS LÄN</t>
        </is>
      </c>
      <c r="G542" t="inlineStr">
        <is>
          <t>ULRICEHAMN</t>
        </is>
      </c>
      <c r="H542" t="inlineStr">
        <is>
          <t>Sveaskog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17870-2023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45038</v>
      </c>
      <c r="E543" s="1" t="n">
        <v>46295</v>
      </c>
      <c r="F543" t="inlineStr">
        <is>
          <t>VÄSTRA GÖTALANDS LÄN</t>
        </is>
      </c>
      <c r="G543" t="inlineStr">
        <is>
          <t>ULRICEHAMN</t>
        </is>
      </c>
      <c r="I543" t="n">
        <v>2.3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27824-2026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46191</v>
      </c>
      <c r="E544" s="1" t="n">
        <v>46295</v>
      </c>
      <c r="F544" t="inlineStr">
        <is>
          <t>VÄSTRA GÖTALANDS LÄN</t>
        </is>
      </c>
      <c r="G544" t="inlineStr">
        <is>
          <t>ULRICEHAMN</t>
        </is>
      </c>
      <c r="I544" t="n">
        <v>3.7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25340-2023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45087</v>
      </c>
      <c r="E545" s="1" t="n">
        <v>46295</v>
      </c>
      <c r="F545" t="inlineStr">
        <is>
          <t>VÄSTRA GÖTALANDS LÄN</t>
        </is>
      </c>
      <c r="G545" t="inlineStr">
        <is>
          <t>ULRICEHAMN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15289-2025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45745</v>
      </c>
      <c r="E546" s="1" t="n">
        <v>46295</v>
      </c>
      <c r="F546" t="inlineStr">
        <is>
          <t>VÄSTRA GÖTALANDS LÄN</t>
        </is>
      </c>
      <c r="G546" t="inlineStr">
        <is>
          <t>ULRICEHAMN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27557-2026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46190</v>
      </c>
      <c r="E547" s="1" t="n">
        <v>46295</v>
      </c>
      <c r="F547" t="inlineStr">
        <is>
          <t>VÄSTRA GÖTALANDS LÄN</t>
        </is>
      </c>
      <c r="G547" t="inlineStr">
        <is>
          <t>ULRICEHAMN</t>
        </is>
      </c>
      <c r="I547" t="n">
        <v>5.9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57173-2023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45245</v>
      </c>
      <c r="E548" s="1" t="n">
        <v>46295</v>
      </c>
      <c r="F548" t="inlineStr">
        <is>
          <t>VÄSTRA GÖTALANDS LÄN</t>
        </is>
      </c>
      <c r="G548" t="inlineStr">
        <is>
          <t>ULRICEHAMN</t>
        </is>
      </c>
      <c r="I548" t="n">
        <v>0.9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64734-2023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45281</v>
      </c>
      <c r="E549" s="1" t="n">
        <v>46295</v>
      </c>
      <c r="F549" t="inlineStr">
        <is>
          <t>VÄSTRA GÖTALANDS LÄN</t>
        </is>
      </c>
      <c r="G549" t="inlineStr">
        <is>
          <t>ULRICEHAMN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64736-2023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45281</v>
      </c>
      <c r="E550" s="1" t="n">
        <v>46295</v>
      </c>
      <c r="F550" t="inlineStr">
        <is>
          <t>VÄSTRA GÖTALANDS LÄN</t>
        </is>
      </c>
      <c r="G550" t="inlineStr">
        <is>
          <t>ULRICEHAMN</t>
        </is>
      </c>
      <c r="I550" t="n">
        <v>2.2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64738-2023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45281</v>
      </c>
      <c r="E551" s="1" t="n">
        <v>46295</v>
      </c>
      <c r="F551" t="inlineStr">
        <is>
          <t>VÄSTRA GÖTALANDS LÄN</t>
        </is>
      </c>
      <c r="G551" t="inlineStr">
        <is>
          <t>ULRICEHAMN</t>
        </is>
      </c>
      <c r="I551" t="n">
        <v>14.1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59802-2023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45257</v>
      </c>
      <c r="E552" s="1" t="n">
        <v>46295</v>
      </c>
      <c r="F552" t="inlineStr">
        <is>
          <t>VÄSTRA GÖTALANDS LÄN</t>
        </is>
      </c>
      <c r="G552" t="inlineStr">
        <is>
          <t>ULRICEHAMN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65400-2021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44515</v>
      </c>
      <c r="E553" s="1" t="n">
        <v>46295</v>
      </c>
      <c r="F553" t="inlineStr">
        <is>
          <t>VÄSTRA GÖTALANDS LÄN</t>
        </is>
      </c>
      <c r="G553" t="inlineStr">
        <is>
          <t>ULRICEHAMN</t>
        </is>
      </c>
      <c r="I553" t="n">
        <v>0.7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60277-2023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45258</v>
      </c>
      <c r="E554" s="1" t="n">
        <v>46295</v>
      </c>
      <c r="F554" t="inlineStr">
        <is>
          <t>VÄSTRA GÖTALANDS LÄN</t>
        </is>
      </c>
      <c r="G554" t="inlineStr">
        <is>
          <t>ULRICEHAMN</t>
        </is>
      </c>
      <c r="I554" t="n">
        <v>1.1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58560-2021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44488</v>
      </c>
      <c r="E555" s="1" t="n">
        <v>46295</v>
      </c>
      <c r="F555" t="inlineStr">
        <is>
          <t>VÄSTRA GÖTALANDS LÄN</t>
        </is>
      </c>
      <c r="G555" t="inlineStr">
        <is>
          <t>ULRICEHAMN</t>
        </is>
      </c>
      <c r="I555" t="n">
        <v>1.4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51665-2024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45606</v>
      </c>
      <c r="E556" s="1" t="n">
        <v>46295</v>
      </c>
      <c r="F556" t="inlineStr">
        <is>
          <t>VÄSTRA GÖTALANDS LÄN</t>
        </is>
      </c>
      <c r="G556" t="inlineStr">
        <is>
          <t>ULRICEHAMN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42205-2022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44830</v>
      </c>
      <c r="E557" s="1" t="n">
        <v>46295</v>
      </c>
      <c r="F557" t="inlineStr">
        <is>
          <t>VÄSTRA GÖTALANDS LÄN</t>
        </is>
      </c>
      <c r="G557" t="inlineStr">
        <is>
          <t>ULRICEHAMN</t>
        </is>
      </c>
      <c r="I557" t="n">
        <v>3.3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7428-2022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44606</v>
      </c>
      <c r="E558" s="1" t="n">
        <v>46295</v>
      </c>
      <c r="F558" t="inlineStr">
        <is>
          <t>VÄSTRA GÖTALANDS LÄN</t>
        </is>
      </c>
      <c r="G558" t="inlineStr">
        <is>
          <t>ULRICEHAMN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548-2022</t>
        </is>
      </c>
      <c r="B559" t="inlineStr">
        <is>
          <t>avverkningsanmälan</t>
        </is>
      </c>
      <c r="C559" t="inlineStr">
        <is>
          <t>Avverkning för annat ändamål</t>
        </is>
      </c>
      <c r="D559" s="1" t="n">
        <v>44566</v>
      </c>
      <c r="E559" s="1" t="n">
        <v>46295</v>
      </c>
      <c r="F559" t="inlineStr">
        <is>
          <t>VÄSTRA GÖTALANDS LÄN</t>
        </is>
      </c>
      <c r="G559" t="inlineStr">
        <is>
          <t>ULRICEHAMN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14038-2023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45008</v>
      </c>
      <c r="E560" s="1" t="n">
        <v>46295</v>
      </c>
      <c r="F560" t="inlineStr">
        <is>
          <t>VÄSTRA GÖTALANDS LÄN</t>
        </is>
      </c>
      <c r="G560" t="inlineStr">
        <is>
          <t>ULRICEHAMN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12727-2024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45384</v>
      </c>
      <c r="E561" s="1" t="n">
        <v>46295</v>
      </c>
      <c r="F561" t="inlineStr">
        <is>
          <t>VÄSTRA GÖTALANDS LÄN</t>
        </is>
      </c>
      <c r="G561" t="inlineStr">
        <is>
          <t>ULRICEHAMN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30585-2022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44762</v>
      </c>
      <c r="E562" s="1" t="n">
        <v>46295</v>
      </c>
      <c r="F562" t="inlineStr">
        <is>
          <t>VÄSTRA GÖTALANDS LÄN</t>
        </is>
      </c>
      <c r="G562" t="inlineStr">
        <is>
          <t>ULRICEHAMN</t>
        </is>
      </c>
      <c r="I562" t="n">
        <v>6.8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17306-2022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44678</v>
      </c>
      <c r="E563" s="1" t="n">
        <v>46295</v>
      </c>
      <c r="F563" t="inlineStr">
        <is>
          <t>VÄSTRA GÖTALANDS LÄN</t>
        </is>
      </c>
      <c r="G563" t="inlineStr">
        <is>
          <t>ULRICEHAMN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60992-2021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44497</v>
      </c>
      <c r="E564" s="1" t="n">
        <v>46295</v>
      </c>
      <c r="F564" t="inlineStr">
        <is>
          <t>VÄSTRA GÖTALANDS LÄN</t>
        </is>
      </c>
      <c r="G564" t="inlineStr">
        <is>
          <t>ULRICEHAMN</t>
        </is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51777-2024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45607</v>
      </c>
      <c r="E565" s="1" t="n">
        <v>46295</v>
      </c>
      <c r="F565" t="inlineStr">
        <is>
          <t>VÄSTRA GÖTALANDS LÄN</t>
        </is>
      </c>
      <c r="G565" t="inlineStr">
        <is>
          <t>ULRICEHAMN</t>
        </is>
      </c>
      <c r="I565" t="n">
        <v>0.4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14592-2024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45395</v>
      </c>
      <c r="E566" s="1" t="n">
        <v>46295</v>
      </c>
      <c r="F566" t="inlineStr">
        <is>
          <t>VÄSTRA GÖTALANDS LÄN</t>
        </is>
      </c>
      <c r="G566" t="inlineStr">
        <is>
          <t>ULRICEHAMN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34448-2023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45139</v>
      </c>
      <c r="E567" s="1" t="n">
        <v>46295</v>
      </c>
      <c r="F567" t="inlineStr">
        <is>
          <t>VÄSTRA GÖTALANDS LÄN</t>
        </is>
      </c>
      <c r="G567" t="inlineStr">
        <is>
          <t>ULRICEHAMN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57561-2022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44896</v>
      </c>
      <c r="E568" s="1" t="n">
        <v>46295</v>
      </c>
      <c r="F568" t="inlineStr">
        <is>
          <t>VÄSTRA GÖTALANDS LÄN</t>
        </is>
      </c>
      <c r="G568" t="inlineStr">
        <is>
          <t>ULRICEHAMN</t>
        </is>
      </c>
      <c r="I568" t="n">
        <v>3.9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22715-2023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45071</v>
      </c>
      <c r="E569" s="1" t="n">
        <v>46295</v>
      </c>
      <c r="F569" t="inlineStr">
        <is>
          <t>VÄSTRA GÖTALANDS LÄN</t>
        </is>
      </c>
      <c r="G569" t="inlineStr">
        <is>
          <t>ULRICEHAMN</t>
        </is>
      </c>
      <c r="I569" t="n">
        <v>7.4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26248-2023</t>
        </is>
      </c>
      <c r="B570" t="inlineStr">
        <is>
          <t>avverkningsanmälan</t>
        </is>
      </c>
      <c r="C570" t="inlineStr">
        <is>
          <t>Avverkning för annat ändamål</t>
        </is>
      </c>
      <c r="D570" s="1" t="n">
        <v>45091</v>
      </c>
      <c r="E570" s="1" t="n">
        <v>46295</v>
      </c>
      <c r="F570" t="inlineStr">
        <is>
          <t>VÄSTRA GÖTALANDS LÄN</t>
        </is>
      </c>
      <c r="G570" t="inlineStr">
        <is>
          <t>ULRICEHAMN</t>
        </is>
      </c>
      <c r="I570" t="n">
        <v>5.3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30205-2026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46206</v>
      </c>
      <c r="E571" s="1" t="n">
        <v>46295</v>
      </c>
      <c r="F571" t="inlineStr">
        <is>
          <t>VÄSTRA GÖTALANDS LÄN</t>
        </is>
      </c>
      <c r="G571" t="inlineStr">
        <is>
          <t>ULRICEHAMN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14149-2023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45009</v>
      </c>
      <c r="E572" s="1" t="n">
        <v>46295</v>
      </c>
      <c r="F572" t="inlineStr">
        <is>
          <t>VÄSTRA GÖTALANDS LÄN</t>
        </is>
      </c>
      <c r="G572" t="inlineStr">
        <is>
          <t>ULRICEHAMN</t>
        </is>
      </c>
      <c r="I572" t="n">
        <v>2.8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34278-2026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46253</v>
      </c>
      <c r="E573" s="1" t="n">
        <v>46295</v>
      </c>
      <c r="F573" t="inlineStr">
        <is>
          <t>VÄSTRA GÖTALANDS LÄN</t>
        </is>
      </c>
      <c r="G573" t="inlineStr">
        <is>
          <t>ULRICEHAMN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9599-2024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45361</v>
      </c>
      <c r="E574" s="1" t="n">
        <v>46295</v>
      </c>
      <c r="F574" t="inlineStr">
        <is>
          <t>VÄSTRA GÖTALANDS LÄN</t>
        </is>
      </c>
      <c r="G574" t="inlineStr">
        <is>
          <t>ULRICEHAMN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34506-2026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46255</v>
      </c>
      <c r="E575" s="1" t="n">
        <v>46295</v>
      </c>
      <c r="F575" t="inlineStr">
        <is>
          <t>VÄSTRA GÖTALANDS LÄN</t>
        </is>
      </c>
      <c r="G575" t="inlineStr">
        <is>
          <t>ULRICEHAMN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30332-2022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44760</v>
      </c>
      <c r="E576" s="1" t="n">
        <v>46295</v>
      </c>
      <c r="F576" t="inlineStr">
        <is>
          <t>VÄSTRA GÖTALANDS LÄN</t>
        </is>
      </c>
      <c r="G576" t="inlineStr">
        <is>
          <t>ULRICEHAMN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30624-2026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46211</v>
      </c>
      <c r="E577" s="1" t="n">
        <v>46295</v>
      </c>
      <c r="F577" t="inlineStr">
        <is>
          <t>VÄSTRA GÖTALANDS LÄN</t>
        </is>
      </c>
      <c r="G577" t="inlineStr">
        <is>
          <t>ULRICEHAMN</t>
        </is>
      </c>
      <c r="I577" t="n">
        <v>1.6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30622-2026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46211</v>
      </c>
      <c r="E578" s="1" t="n">
        <v>46295</v>
      </c>
      <c r="F578" t="inlineStr">
        <is>
          <t>VÄSTRA GÖTALANDS LÄN</t>
        </is>
      </c>
      <c r="G578" t="inlineStr">
        <is>
          <t>ULRICEHAMN</t>
        </is>
      </c>
      <c r="I578" t="n">
        <v>10.8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34510-2026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46255</v>
      </c>
      <c r="E579" s="1" t="n">
        <v>46295</v>
      </c>
      <c r="F579" t="inlineStr">
        <is>
          <t>VÄSTRA GÖTALANDS LÄN</t>
        </is>
      </c>
      <c r="G579" t="inlineStr">
        <is>
          <t>ULRICEHAMN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6853-2023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44967</v>
      </c>
      <c r="E580" s="1" t="n">
        <v>46295</v>
      </c>
      <c r="F580" t="inlineStr">
        <is>
          <t>VÄSTRA GÖTALANDS LÄN</t>
        </is>
      </c>
      <c r="G580" t="inlineStr">
        <is>
          <t>ULRICEHAMN</t>
        </is>
      </c>
      <c r="I580" t="n">
        <v>2.4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6856-2023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44967</v>
      </c>
      <c r="E581" s="1" t="n">
        <v>46295</v>
      </c>
      <c r="F581" t="inlineStr">
        <is>
          <t>VÄSTRA GÖTALANDS LÄN</t>
        </is>
      </c>
      <c r="G581" t="inlineStr">
        <is>
          <t>ULRICEHAMN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56450-2024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45625</v>
      </c>
      <c r="E582" s="1" t="n">
        <v>46295</v>
      </c>
      <c r="F582" t="inlineStr">
        <is>
          <t>VÄSTRA GÖTALANDS LÄN</t>
        </is>
      </c>
      <c r="G582" t="inlineStr">
        <is>
          <t>ULRICEHAMN</t>
        </is>
      </c>
      <c r="I582" t="n">
        <v>7.1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34497-2026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46255</v>
      </c>
      <c r="E583" s="1" t="n">
        <v>46295</v>
      </c>
      <c r="F583" t="inlineStr">
        <is>
          <t>VÄSTRA GÖTALANDS LÄN</t>
        </is>
      </c>
      <c r="G583" t="inlineStr">
        <is>
          <t>ULRICEHAMN</t>
        </is>
      </c>
      <c r="I583" t="n">
        <v>2.8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34519-2026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46255</v>
      </c>
      <c r="E584" s="1" t="n">
        <v>46295</v>
      </c>
      <c r="F584" t="inlineStr">
        <is>
          <t>VÄSTRA GÖTALANDS LÄN</t>
        </is>
      </c>
      <c r="G584" t="inlineStr">
        <is>
          <t>ULRICEHAMN</t>
        </is>
      </c>
      <c r="I584" t="n">
        <v>0.9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64998-2021</t>
        </is>
      </c>
      <c r="B585" t="inlineStr">
        <is>
          <t>avverkningsanmälan</t>
        </is>
      </c>
      <c r="C585" t="inlineStr">
        <is>
          <t>Avverkning för annat ändamål</t>
        </is>
      </c>
      <c r="D585" s="1" t="n">
        <v>44514</v>
      </c>
      <c r="E585" s="1" t="n">
        <v>46295</v>
      </c>
      <c r="F585" t="inlineStr">
        <is>
          <t>VÄSTRA GÖTALANDS LÄN</t>
        </is>
      </c>
      <c r="G585" t="inlineStr">
        <is>
          <t>ULRICEHAMN</t>
        </is>
      </c>
      <c r="I585" t="n">
        <v>1.3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50665-2024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45601</v>
      </c>
      <c r="E586" s="1" t="n">
        <v>46295</v>
      </c>
      <c r="F586" t="inlineStr">
        <is>
          <t>VÄSTRA GÖTALANDS LÄN</t>
        </is>
      </c>
      <c r="G586" t="inlineStr">
        <is>
          <t>ULRICEHAMN</t>
        </is>
      </c>
      <c r="I586" t="n">
        <v>2.3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22480-2023</t>
        </is>
      </c>
      <c r="B587" t="inlineStr">
        <is>
          <t>avverkningsanmälan</t>
        </is>
      </c>
      <c r="C587" t="inlineStr">
        <is>
          <t>Avverkning för annat ändamål</t>
        </is>
      </c>
      <c r="D587" s="1" t="n">
        <v>45071</v>
      </c>
      <c r="E587" s="1" t="n">
        <v>46295</v>
      </c>
      <c r="F587" t="inlineStr">
        <is>
          <t>VÄSTRA GÖTALANDS LÄN</t>
        </is>
      </c>
      <c r="G587" t="inlineStr">
        <is>
          <t>ULRICEHAMN</t>
        </is>
      </c>
      <c r="I587" t="n">
        <v>4.2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2993-2023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44945</v>
      </c>
      <c r="E588" s="1" t="n">
        <v>46295</v>
      </c>
      <c r="F588" t="inlineStr">
        <is>
          <t>VÄSTRA GÖTALANDS LÄN</t>
        </is>
      </c>
      <c r="G588" t="inlineStr">
        <is>
          <t>ULRICEHAMN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28888-2023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45104</v>
      </c>
      <c r="E589" s="1" t="n">
        <v>46295</v>
      </c>
      <c r="F589" t="inlineStr">
        <is>
          <t>VÄSTRA GÖTALANDS LÄN</t>
        </is>
      </c>
      <c r="G589" t="inlineStr">
        <is>
          <t>ULRICEHAMN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31110-2026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46216</v>
      </c>
      <c r="E590" s="1" t="n">
        <v>46295</v>
      </c>
      <c r="F590" t="inlineStr">
        <is>
          <t>VÄSTRA GÖTALANDS LÄN</t>
        </is>
      </c>
      <c r="G590" t="inlineStr">
        <is>
          <t>ULRICEHAMN</t>
        </is>
      </c>
      <c r="I590" t="n">
        <v>2.1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3457-2024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45320</v>
      </c>
      <c r="E591" s="1" t="n">
        <v>46295</v>
      </c>
      <c r="F591" t="inlineStr">
        <is>
          <t>VÄSTRA GÖTALANDS LÄN</t>
        </is>
      </c>
      <c r="G591" t="inlineStr">
        <is>
          <t>ULRICEHAMN</t>
        </is>
      </c>
      <c r="I591" t="n">
        <v>0.8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31094-2026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46216</v>
      </c>
      <c r="E592" s="1" t="n">
        <v>46295</v>
      </c>
      <c r="F592" t="inlineStr">
        <is>
          <t>VÄSTRA GÖTALANDS LÄN</t>
        </is>
      </c>
      <c r="G592" t="inlineStr">
        <is>
          <t>ULRICEHAMN</t>
        </is>
      </c>
      <c r="I592" t="n">
        <v>4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31102-2026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46216</v>
      </c>
      <c r="E593" s="1" t="n">
        <v>46295</v>
      </c>
      <c r="F593" t="inlineStr">
        <is>
          <t>VÄSTRA GÖTALANDS LÄN</t>
        </is>
      </c>
      <c r="G593" t="inlineStr">
        <is>
          <t>ULRICEHAMN</t>
        </is>
      </c>
      <c r="I593" t="n">
        <v>5.7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42438-2024</t>
        </is>
      </c>
      <c r="B594" t="inlineStr">
        <is>
          <t>avverkningsanmälan</t>
        </is>
      </c>
      <c r="C594" t="inlineStr">
        <is>
          <t>Avverkning för annat ändamål</t>
        </is>
      </c>
      <c r="D594" s="1" t="n">
        <v>45565</v>
      </c>
      <c r="E594" s="1" t="n">
        <v>46295</v>
      </c>
      <c r="F594" t="inlineStr">
        <is>
          <t>VÄSTRA GÖTALANDS LÄN</t>
        </is>
      </c>
      <c r="G594" t="inlineStr">
        <is>
          <t>ULRICEHAMN</t>
        </is>
      </c>
      <c r="I594" t="n">
        <v>1.8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65872-2021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44517</v>
      </c>
      <c r="E595" s="1" t="n">
        <v>46295</v>
      </c>
      <c r="F595" t="inlineStr">
        <is>
          <t>VÄSTRA GÖTALANDS LÄN</t>
        </is>
      </c>
      <c r="G595" t="inlineStr">
        <is>
          <t>ULRICEHAMN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46209-2023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45196</v>
      </c>
      <c r="E596" s="1" t="n">
        <v>46295</v>
      </c>
      <c r="F596" t="inlineStr">
        <is>
          <t>VÄSTRA GÖTALANDS LÄN</t>
        </is>
      </c>
      <c r="G596" t="inlineStr">
        <is>
          <t>ULRICEHAMN</t>
        </is>
      </c>
      <c r="I596" t="n">
        <v>0.5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8670-2022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44613</v>
      </c>
      <c r="E597" s="1" t="n">
        <v>46295</v>
      </c>
      <c r="F597" t="inlineStr">
        <is>
          <t>VÄSTRA GÖTALANDS LÄN</t>
        </is>
      </c>
      <c r="G597" t="inlineStr">
        <is>
          <t>ULRICEHAMN</t>
        </is>
      </c>
      <c r="H597" t="inlineStr">
        <is>
          <t>Sveaskog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32303-2023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45120</v>
      </c>
      <c r="E598" s="1" t="n">
        <v>46295</v>
      </c>
      <c r="F598" t="inlineStr">
        <is>
          <t>VÄSTRA GÖTALANDS LÄN</t>
        </is>
      </c>
      <c r="G598" t="inlineStr">
        <is>
          <t>ULRICEHAMN</t>
        </is>
      </c>
      <c r="I598" t="n">
        <v>6.4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35312-2026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46261</v>
      </c>
      <c r="E599" s="1" t="n">
        <v>46295</v>
      </c>
      <c r="F599" t="inlineStr">
        <is>
          <t>VÄSTRA GÖTALANDS LÄN</t>
        </is>
      </c>
      <c r="G599" t="inlineStr">
        <is>
          <t>ULRICEHAMN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55267-2023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45237</v>
      </c>
      <c r="E600" s="1" t="n">
        <v>46295</v>
      </c>
      <c r="F600" t="inlineStr">
        <is>
          <t>VÄSTRA GÖTALANDS LÄN</t>
        </is>
      </c>
      <c r="G600" t="inlineStr">
        <is>
          <t>ULRICEHAMN</t>
        </is>
      </c>
      <c r="I600" t="n">
        <v>0.4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35329-2026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46261</v>
      </c>
      <c r="E601" s="1" t="n">
        <v>46295</v>
      </c>
      <c r="F601" t="inlineStr">
        <is>
          <t>VÄSTRA GÖTALANDS LÄN</t>
        </is>
      </c>
      <c r="G601" t="inlineStr">
        <is>
          <t>ULRICEHAMN</t>
        </is>
      </c>
      <c r="I601" t="n">
        <v>0.8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12101-2022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44636</v>
      </c>
      <c r="E602" s="1" t="n">
        <v>46295</v>
      </c>
      <c r="F602" t="inlineStr">
        <is>
          <t>VÄSTRA GÖTALANDS LÄN</t>
        </is>
      </c>
      <c r="G602" t="inlineStr">
        <is>
          <t>ULRICEHAMN</t>
        </is>
      </c>
      <c r="I602" t="n">
        <v>1.6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36096-2024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45533</v>
      </c>
      <c r="E603" s="1" t="n">
        <v>46295</v>
      </c>
      <c r="F603" t="inlineStr">
        <is>
          <t>VÄSTRA GÖTALANDS LÄN</t>
        </is>
      </c>
      <c r="G603" t="inlineStr">
        <is>
          <t>ULRICEHAMN</t>
        </is>
      </c>
      <c r="I603" t="n">
        <v>12.5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35291-2026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46261</v>
      </c>
      <c r="E604" s="1" t="n">
        <v>46295</v>
      </c>
      <c r="F604" t="inlineStr">
        <is>
          <t>VÄSTRA GÖTALANDS LÄN</t>
        </is>
      </c>
      <c r="G604" t="inlineStr">
        <is>
          <t>ULRICEHAMN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60274-2023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45258</v>
      </c>
      <c r="E605" s="1" t="n">
        <v>46295</v>
      </c>
      <c r="F605" t="inlineStr">
        <is>
          <t>VÄSTRA GÖTALANDS LÄN</t>
        </is>
      </c>
      <c r="G605" t="inlineStr">
        <is>
          <t>ULRICEHAMN</t>
        </is>
      </c>
      <c r="I605" t="n">
        <v>2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35538-2026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46262</v>
      </c>
      <c r="E606" s="1" t="n">
        <v>46295</v>
      </c>
      <c r="F606" t="inlineStr">
        <is>
          <t>VÄSTRA GÖTALANDS LÄN</t>
        </is>
      </c>
      <c r="G606" t="inlineStr">
        <is>
          <t>ULRICEHAMN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57562-2023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45246</v>
      </c>
      <c r="E607" s="1" t="n">
        <v>46295</v>
      </c>
      <c r="F607" t="inlineStr">
        <is>
          <t>VÄSTRA GÖTALANDS LÄN</t>
        </is>
      </c>
      <c r="G607" t="inlineStr">
        <is>
          <t>ULRICEHAMN</t>
        </is>
      </c>
      <c r="I607" t="n">
        <v>1.8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31541-2026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46223</v>
      </c>
      <c r="E608" s="1" t="n">
        <v>46295</v>
      </c>
      <c r="F608" t="inlineStr">
        <is>
          <t>VÄSTRA GÖTALANDS LÄN</t>
        </is>
      </c>
      <c r="G608" t="inlineStr">
        <is>
          <t>ULRICEHAMN</t>
        </is>
      </c>
      <c r="H608" t="inlineStr">
        <is>
          <t>Sveaskog</t>
        </is>
      </c>
      <c r="I608" t="n">
        <v>4.8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38986-2023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45163</v>
      </c>
      <c r="E609" s="1" t="n">
        <v>46295</v>
      </c>
      <c r="F609" t="inlineStr">
        <is>
          <t>VÄSTRA GÖTALANDS LÄN</t>
        </is>
      </c>
      <c r="G609" t="inlineStr">
        <is>
          <t>ULRICEHAMN</t>
        </is>
      </c>
      <c r="I609" t="n">
        <v>5.2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49825-2024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45597</v>
      </c>
      <c r="E610" s="1" t="n">
        <v>46295</v>
      </c>
      <c r="F610" t="inlineStr">
        <is>
          <t>VÄSTRA GÖTALANDS LÄN</t>
        </is>
      </c>
      <c r="G610" t="inlineStr">
        <is>
          <t>ULRICEHAMN</t>
        </is>
      </c>
      <c r="I610" t="n">
        <v>1.5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63012-2023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45272</v>
      </c>
      <c r="E611" s="1" t="n">
        <v>46295</v>
      </c>
      <c r="F611" t="inlineStr">
        <is>
          <t>VÄSTRA GÖTALANDS LÄN</t>
        </is>
      </c>
      <c r="G611" t="inlineStr">
        <is>
          <t>ULRICEHAMN</t>
        </is>
      </c>
      <c r="I611" t="n">
        <v>2.4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31549-2026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46223</v>
      </c>
      <c r="E612" s="1" t="n">
        <v>46295</v>
      </c>
      <c r="F612" t="inlineStr">
        <is>
          <t>VÄSTRA GÖTALANDS LÄN</t>
        </is>
      </c>
      <c r="G612" t="inlineStr">
        <is>
          <t>ULRICEHAMN</t>
        </is>
      </c>
      <c r="I612" t="n">
        <v>0.9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25651-2023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45089</v>
      </c>
      <c r="E613" s="1" t="n">
        <v>46295</v>
      </c>
      <c r="F613" t="inlineStr">
        <is>
          <t>VÄSTRA GÖTALANDS LÄN</t>
        </is>
      </c>
      <c r="G613" t="inlineStr">
        <is>
          <t>ULRICEHAMN</t>
        </is>
      </c>
      <c r="I613" t="n">
        <v>6.5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31540-2026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46223</v>
      </c>
      <c r="E614" s="1" t="n">
        <v>46295</v>
      </c>
      <c r="F614" t="inlineStr">
        <is>
          <t>VÄSTRA GÖTALANDS LÄN</t>
        </is>
      </c>
      <c r="G614" t="inlineStr">
        <is>
          <t>ULRICEHAMN</t>
        </is>
      </c>
      <c r="H614" t="inlineStr">
        <is>
          <t>Sveaskog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7382-2023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44971</v>
      </c>
      <c r="E615" s="1" t="n">
        <v>46295</v>
      </c>
      <c r="F615" t="inlineStr">
        <is>
          <t>VÄSTRA GÖTALANDS LÄN</t>
        </is>
      </c>
      <c r="G615" t="inlineStr">
        <is>
          <t>ULRICEHAMN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36693-2023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45153</v>
      </c>
      <c r="E616" s="1" t="n">
        <v>46295</v>
      </c>
      <c r="F616" t="inlineStr">
        <is>
          <t>VÄSTRA GÖTALANDS LÄN</t>
        </is>
      </c>
      <c r="G616" t="inlineStr">
        <is>
          <t>ULRICEHAMN</t>
        </is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38594-2023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45162</v>
      </c>
      <c r="E617" s="1" t="n">
        <v>46295</v>
      </c>
      <c r="F617" t="inlineStr">
        <is>
          <t>VÄSTRA GÖTALANDS LÄN</t>
        </is>
      </c>
      <c r="G617" t="inlineStr">
        <is>
          <t>ULRICEHAMN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13106-2023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45002</v>
      </c>
      <c r="E618" s="1" t="n">
        <v>46295</v>
      </c>
      <c r="F618" t="inlineStr">
        <is>
          <t>VÄSTRA GÖTALANDS LÄN</t>
        </is>
      </c>
      <c r="G618" t="inlineStr">
        <is>
          <t>ULRICEHAMN</t>
        </is>
      </c>
      <c r="I618" t="n">
        <v>0.5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31584-2026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46224</v>
      </c>
      <c r="E619" s="1" t="n">
        <v>46295</v>
      </c>
      <c r="F619" t="inlineStr">
        <is>
          <t>VÄSTRA GÖTALANDS LÄN</t>
        </is>
      </c>
      <c r="G619" t="inlineStr">
        <is>
          <t>ULRICEHAMN</t>
        </is>
      </c>
      <c r="H619" t="inlineStr">
        <is>
          <t>Kyrkan</t>
        </is>
      </c>
      <c r="I619" t="n">
        <v>9.6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31581-2026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46224</v>
      </c>
      <c r="E620" s="1" t="n">
        <v>46295</v>
      </c>
      <c r="F620" t="inlineStr">
        <is>
          <t>VÄSTRA GÖTALANDS LÄN</t>
        </is>
      </c>
      <c r="G620" t="inlineStr">
        <is>
          <t>ULRICEHAMN</t>
        </is>
      </c>
      <c r="I620" t="n">
        <v>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31585-2026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46224</v>
      </c>
      <c r="E621" s="1" t="n">
        <v>46295</v>
      </c>
      <c r="F621" t="inlineStr">
        <is>
          <t>VÄSTRA GÖTALANDS LÄN</t>
        </is>
      </c>
      <c r="G621" t="inlineStr">
        <is>
          <t>ULRICEHAMN</t>
        </is>
      </c>
      <c r="I621" t="n">
        <v>2.5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11959-2024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45376</v>
      </c>
      <c r="E622" s="1" t="n">
        <v>46295</v>
      </c>
      <c r="F622" t="inlineStr">
        <is>
          <t>VÄSTRA GÖTALANDS LÄN</t>
        </is>
      </c>
      <c r="G622" t="inlineStr">
        <is>
          <t>ULRICEHAMN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36054-2026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46267</v>
      </c>
      <c r="E623" s="1" t="n">
        <v>46295</v>
      </c>
      <c r="F623" t="inlineStr">
        <is>
          <t>VÄSTRA GÖTALANDS LÄN</t>
        </is>
      </c>
      <c r="G623" t="inlineStr">
        <is>
          <t>ULRICEHAMN</t>
        </is>
      </c>
      <c r="I623" t="n">
        <v>4.1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17507-2024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45415</v>
      </c>
      <c r="E624" s="1" t="n">
        <v>46295</v>
      </c>
      <c r="F624" t="inlineStr">
        <is>
          <t>VÄSTRA GÖTALANDS LÄN</t>
        </is>
      </c>
      <c r="G624" t="inlineStr">
        <is>
          <t>ULRICEHAMN</t>
        </is>
      </c>
      <c r="I624" t="n">
        <v>1.5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56833-2022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44894</v>
      </c>
      <c r="E625" s="1" t="n">
        <v>46295</v>
      </c>
      <c r="F625" t="inlineStr">
        <is>
          <t>VÄSTRA GÖTALANDS LÄN</t>
        </is>
      </c>
      <c r="G625" t="inlineStr">
        <is>
          <t>ULRICEHAMN</t>
        </is>
      </c>
      <c r="I625" t="n">
        <v>1.5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29207-2024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45482</v>
      </c>
      <c r="E626" s="1" t="n">
        <v>46295</v>
      </c>
      <c r="F626" t="inlineStr">
        <is>
          <t>VÄSTRA GÖTALANDS LÄN</t>
        </is>
      </c>
      <c r="G626" t="inlineStr">
        <is>
          <t>ULRICEHAMN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36867-2026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46272</v>
      </c>
      <c r="E627" s="1" t="n">
        <v>46295</v>
      </c>
      <c r="F627" t="inlineStr">
        <is>
          <t>VÄSTRA GÖTALANDS LÄN</t>
        </is>
      </c>
      <c r="G627" t="inlineStr">
        <is>
          <t>ULRICEHAMN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33129-2024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45518</v>
      </c>
      <c r="E628" s="1" t="n">
        <v>46295</v>
      </c>
      <c r="F628" t="inlineStr">
        <is>
          <t>VÄSTRA GÖTALANDS LÄN</t>
        </is>
      </c>
      <c r="G628" t="inlineStr">
        <is>
          <t>ULRICEHAMN</t>
        </is>
      </c>
      <c r="I628" t="n">
        <v>2.9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38056-2024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45544</v>
      </c>
      <c r="E629" s="1" t="n">
        <v>46295</v>
      </c>
      <c r="F629" t="inlineStr">
        <is>
          <t>VÄSTRA GÖTALANDS LÄN</t>
        </is>
      </c>
      <c r="G629" t="inlineStr">
        <is>
          <t>ULRICEHAMN</t>
        </is>
      </c>
      <c r="I629" t="n">
        <v>1.8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31749-2026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46227</v>
      </c>
      <c r="E630" s="1" t="n">
        <v>46295</v>
      </c>
      <c r="F630" t="inlineStr">
        <is>
          <t>VÄSTRA GÖTALANDS LÄN</t>
        </is>
      </c>
      <c r="G630" t="inlineStr">
        <is>
          <t>ULRICEHAMN</t>
        </is>
      </c>
      <c r="I630" t="n">
        <v>1.5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36415-2026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46268</v>
      </c>
      <c r="E631" s="1" t="n">
        <v>46295</v>
      </c>
      <c r="F631" t="inlineStr">
        <is>
          <t>VÄSTRA GÖTALANDS LÄN</t>
        </is>
      </c>
      <c r="G631" t="inlineStr">
        <is>
          <t>ULRICEHAMN</t>
        </is>
      </c>
      <c r="I631" t="n">
        <v>5.9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48406-2025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45934</v>
      </c>
      <c r="E632" s="1" t="n">
        <v>46295</v>
      </c>
      <c r="F632" t="inlineStr">
        <is>
          <t>VÄSTRA GÖTALANDS LÄN</t>
        </is>
      </c>
      <c r="G632" t="inlineStr">
        <is>
          <t>ULRICEHAMN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36868-2026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46272</v>
      </c>
      <c r="E633" s="1" t="n">
        <v>46295</v>
      </c>
      <c r="F633" t="inlineStr">
        <is>
          <t>VÄSTRA GÖTALANDS LÄN</t>
        </is>
      </c>
      <c r="G633" t="inlineStr">
        <is>
          <t>ULRICEHAMN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36627-2026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46271</v>
      </c>
      <c r="E634" s="1" t="n">
        <v>46295</v>
      </c>
      <c r="F634" t="inlineStr">
        <is>
          <t>VÄSTRA GÖTALANDS LÄN</t>
        </is>
      </c>
      <c r="G634" t="inlineStr">
        <is>
          <t>ULRICEHAMN</t>
        </is>
      </c>
      <c r="I634" t="n">
        <v>1.8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36629-2026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46271</v>
      </c>
      <c r="E635" s="1" t="n">
        <v>46295</v>
      </c>
      <c r="F635" t="inlineStr">
        <is>
          <t>VÄSTRA GÖTALANDS LÄN</t>
        </is>
      </c>
      <c r="G635" t="inlineStr">
        <is>
          <t>ULRICEHAMN</t>
        </is>
      </c>
      <c r="I635" t="n">
        <v>4.2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46505-2024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45582</v>
      </c>
      <c r="E636" s="1" t="n">
        <v>46295</v>
      </c>
      <c r="F636" t="inlineStr">
        <is>
          <t>VÄSTRA GÖTALANDS LÄN</t>
        </is>
      </c>
      <c r="G636" t="inlineStr">
        <is>
          <t>ULRICEHAMN</t>
        </is>
      </c>
      <c r="I636" t="n">
        <v>4.8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36666-2026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46272</v>
      </c>
      <c r="E637" s="1" t="n">
        <v>46295</v>
      </c>
      <c r="F637" t="inlineStr">
        <is>
          <t>VÄSTRA GÖTALANDS LÄN</t>
        </is>
      </c>
      <c r="G637" t="inlineStr">
        <is>
          <t>ULRICEHAMN</t>
        </is>
      </c>
      <c r="I637" t="n">
        <v>3.1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31863-2026</t>
        </is>
      </c>
      <c r="B638" t="inlineStr">
        <is>
          <t>avverkningsanmälan</t>
        </is>
      </c>
      <c r="C638" t="inlineStr">
        <is>
          <t>Avverkning för annat ändamål</t>
        </is>
      </c>
      <c r="D638" s="1" t="n">
        <v>46231</v>
      </c>
      <c r="E638" s="1" t="n">
        <v>46295</v>
      </c>
      <c r="F638" t="inlineStr">
        <is>
          <t>VÄSTRA GÖTALANDS LÄN</t>
        </is>
      </c>
      <c r="G638" t="inlineStr">
        <is>
          <t>ULRICEHAMN</t>
        </is>
      </c>
      <c r="I638" t="n">
        <v>0.7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37141-2026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46274</v>
      </c>
      <c r="E639" s="1" t="n">
        <v>46295</v>
      </c>
      <c r="F639" t="inlineStr">
        <is>
          <t>VÄSTRA GÖTALANDS LÄN</t>
        </is>
      </c>
      <c r="G639" t="inlineStr">
        <is>
          <t>ULRICEHAMN</t>
        </is>
      </c>
      <c r="I639" t="n">
        <v>9.800000000000001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3850-2025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45683</v>
      </c>
      <c r="E640" s="1" t="n">
        <v>46295</v>
      </c>
      <c r="F640" t="inlineStr">
        <is>
          <t>VÄSTRA GÖTALANDS LÄN</t>
        </is>
      </c>
      <c r="G640" t="inlineStr">
        <is>
          <t>ULRICEHAMN</t>
        </is>
      </c>
      <c r="I640" t="n">
        <v>1.7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20484-2025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45775</v>
      </c>
      <c r="E641" s="1" t="n">
        <v>46295</v>
      </c>
      <c r="F641" t="inlineStr">
        <is>
          <t>VÄSTRA GÖTALANDS LÄN</t>
        </is>
      </c>
      <c r="G641" t="inlineStr">
        <is>
          <t>ULRICEHAMN</t>
        </is>
      </c>
      <c r="I641" t="n">
        <v>0.9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13512-2023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45006</v>
      </c>
      <c r="E642" s="1" t="n">
        <v>46295</v>
      </c>
      <c r="F642" t="inlineStr">
        <is>
          <t>VÄSTRA GÖTALANDS LÄN</t>
        </is>
      </c>
      <c r="G642" t="inlineStr">
        <is>
          <t>ULRICEHAMN</t>
        </is>
      </c>
      <c r="H642" t="inlineStr">
        <is>
          <t>Kommuner</t>
        </is>
      </c>
      <c r="I642" t="n">
        <v>2.5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19758-2026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46135</v>
      </c>
      <c r="E643" s="1" t="n">
        <v>46295</v>
      </c>
      <c r="F643" t="inlineStr">
        <is>
          <t>VÄSTRA GÖTALANDS LÄN</t>
        </is>
      </c>
      <c r="G643" t="inlineStr">
        <is>
          <t>ULRICEHAMN</t>
        </is>
      </c>
      <c r="I643" t="n">
        <v>1.9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31953-2026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46232</v>
      </c>
      <c r="E644" s="1" t="n">
        <v>46295</v>
      </c>
      <c r="F644" t="inlineStr">
        <is>
          <t>VÄSTRA GÖTALANDS LÄN</t>
        </is>
      </c>
      <c r="G644" t="inlineStr">
        <is>
          <t>ULRICEHAMN</t>
        </is>
      </c>
      <c r="I644" t="n">
        <v>4.2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3684-2024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45321</v>
      </c>
      <c r="E645" s="1" t="n">
        <v>46295</v>
      </c>
      <c r="F645" t="inlineStr">
        <is>
          <t>VÄSTRA GÖTALANDS LÄN</t>
        </is>
      </c>
      <c r="G645" t="inlineStr">
        <is>
          <t>ULRICEHAMN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13098-2023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45002</v>
      </c>
      <c r="E646" s="1" t="n">
        <v>46295</v>
      </c>
      <c r="F646" t="inlineStr">
        <is>
          <t>VÄSTRA GÖTALANDS LÄN</t>
        </is>
      </c>
      <c r="G646" t="inlineStr">
        <is>
          <t>ULRICEHAMN</t>
        </is>
      </c>
      <c r="I646" t="n">
        <v>0.5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53087-2023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45227</v>
      </c>
      <c r="E647" s="1" t="n">
        <v>46295</v>
      </c>
      <c r="F647" t="inlineStr">
        <is>
          <t>VÄSTRA GÖTALANDS LÄN</t>
        </is>
      </c>
      <c r="G647" t="inlineStr">
        <is>
          <t>ULRICEHAMN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53089-2023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45227</v>
      </c>
      <c r="E648" s="1" t="n">
        <v>46295</v>
      </c>
      <c r="F648" t="inlineStr">
        <is>
          <t>VÄSTRA GÖTALANDS LÄN</t>
        </is>
      </c>
      <c r="G648" t="inlineStr">
        <is>
          <t>ULRICEHAMN</t>
        </is>
      </c>
      <c r="I648" t="n">
        <v>0.9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32788-2023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45124</v>
      </c>
      <c r="E649" s="1" t="n">
        <v>46295</v>
      </c>
      <c r="F649" t="inlineStr">
        <is>
          <t>VÄSTRA GÖTALANDS LÄN</t>
        </is>
      </c>
      <c r="G649" t="inlineStr">
        <is>
          <t>ULRICEHAMN</t>
        </is>
      </c>
      <c r="I649" t="n">
        <v>2.9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34767-2023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45140</v>
      </c>
      <c r="E650" s="1" t="n">
        <v>46295</v>
      </c>
      <c r="F650" t="inlineStr">
        <is>
          <t>VÄSTRA GÖTALANDS LÄN</t>
        </is>
      </c>
      <c r="G650" t="inlineStr">
        <is>
          <t>ULRICEHAMN</t>
        </is>
      </c>
      <c r="I650" t="n">
        <v>4.3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52132-2024</t>
        </is>
      </c>
      <c r="B651" t="inlineStr">
        <is>
          <t>avverkningsanmälan</t>
        </is>
      </c>
      <c r="C651" t="inlineStr">
        <is>
          <t>Avverkning för att bevara och utveckla /försöksver</t>
        </is>
      </c>
      <c r="D651" s="1" t="n">
        <v>45608</v>
      </c>
      <c r="E651" s="1" t="n">
        <v>46295</v>
      </c>
      <c r="F651" t="inlineStr">
        <is>
          <t>VÄSTRA GÖTALANDS LÄN</t>
        </is>
      </c>
      <c r="G651" t="inlineStr">
        <is>
          <t>ULRICEHAMN</t>
        </is>
      </c>
      <c r="I651" t="n">
        <v>1.9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7111-2023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44970</v>
      </c>
      <c r="E652" s="1" t="n">
        <v>46295</v>
      </c>
      <c r="F652" t="inlineStr">
        <is>
          <t>VÄSTRA GÖTALANDS LÄN</t>
        </is>
      </c>
      <c r="G652" t="inlineStr">
        <is>
          <t>ULRICEHAMN</t>
        </is>
      </c>
      <c r="I652" t="n">
        <v>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9879-2024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45363</v>
      </c>
      <c r="E653" s="1" t="n">
        <v>46295</v>
      </c>
      <c r="F653" t="inlineStr">
        <is>
          <t>VÄSTRA GÖTALANDS LÄN</t>
        </is>
      </c>
      <c r="G653" t="inlineStr">
        <is>
          <t>ULRICEHAMN</t>
        </is>
      </c>
      <c r="I653" t="n">
        <v>1.1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37667-2026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46277</v>
      </c>
      <c r="E654" s="1" t="n">
        <v>46295</v>
      </c>
      <c r="F654" t="inlineStr">
        <is>
          <t>VÄSTRA GÖTALANDS LÄN</t>
        </is>
      </c>
      <c r="G654" t="inlineStr">
        <is>
          <t>ULRICEHAMN</t>
        </is>
      </c>
      <c r="I654" t="n">
        <v>1.2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37668-2026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46277</v>
      </c>
      <c r="E655" s="1" t="n">
        <v>46295</v>
      </c>
      <c r="F655" t="inlineStr">
        <is>
          <t>VÄSTRA GÖTALANDS LÄN</t>
        </is>
      </c>
      <c r="G655" t="inlineStr">
        <is>
          <t>ULRICEHAMN</t>
        </is>
      </c>
      <c r="I655" t="n">
        <v>1.3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12149-2022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44636</v>
      </c>
      <c r="E656" s="1" t="n">
        <v>46295</v>
      </c>
      <c r="F656" t="inlineStr">
        <is>
          <t>VÄSTRA GÖTALANDS LÄN</t>
        </is>
      </c>
      <c r="G656" t="inlineStr">
        <is>
          <t>ULRICEHAMN</t>
        </is>
      </c>
      <c r="I656" t="n">
        <v>6.3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52304-2023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45224</v>
      </c>
      <c r="E657" s="1" t="n">
        <v>46295</v>
      </c>
      <c r="F657" t="inlineStr">
        <is>
          <t>VÄSTRA GÖTALANDS LÄN</t>
        </is>
      </c>
      <c r="G657" t="inlineStr">
        <is>
          <t>ULRICEHAMN</t>
        </is>
      </c>
      <c r="I657" t="n">
        <v>2.1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16991-2024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45412</v>
      </c>
      <c r="E658" s="1" t="n">
        <v>46295</v>
      </c>
      <c r="F658" t="inlineStr">
        <is>
          <t>VÄSTRA GÖTALANDS LÄN</t>
        </is>
      </c>
      <c r="G658" t="inlineStr">
        <is>
          <t>ULRICEHAMN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61508-2023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45265</v>
      </c>
      <c r="E659" s="1" t="n">
        <v>46295</v>
      </c>
      <c r="F659" t="inlineStr">
        <is>
          <t>VÄSTRA GÖTALANDS LÄN</t>
        </is>
      </c>
      <c r="G659" t="inlineStr">
        <is>
          <t>ULRICEHAMN</t>
        </is>
      </c>
      <c r="I659" t="n">
        <v>1.3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61512-2023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45265</v>
      </c>
      <c r="E660" s="1" t="n">
        <v>46295</v>
      </c>
      <c r="F660" t="inlineStr">
        <is>
          <t>VÄSTRA GÖTALANDS LÄN</t>
        </is>
      </c>
      <c r="G660" t="inlineStr">
        <is>
          <t>ULRICEHAMN</t>
        </is>
      </c>
      <c r="I660" t="n">
        <v>1.8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3441-2024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45320</v>
      </c>
      <c r="E661" s="1" t="n">
        <v>46295</v>
      </c>
      <c r="F661" t="inlineStr">
        <is>
          <t>VÄSTRA GÖTALANDS LÄN</t>
        </is>
      </c>
      <c r="G661" t="inlineStr">
        <is>
          <t>ULRICEHAMN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48986-2023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45209</v>
      </c>
      <c r="E662" s="1" t="n">
        <v>46295</v>
      </c>
      <c r="F662" t="inlineStr">
        <is>
          <t>VÄSTRA GÖTALANDS LÄN</t>
        </is>
      </c>
      <c r="G662" t="inlineStr">
        <is>
          <t>ULRICEHAMN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35764-2022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44800</v>
      </c>
      <c r="E663" s="1" t="n">
        <v>46295</v>
      </c>
      <c r="F663" t="inlineStr">
        <is>
          <t>VÄSTRA GÖTALANDS LÄN</t>
        </is>
      </c>
      <c r="G663" t="inlineStr">
        <is>
          <t>ULRICEHAMN</t>
        </is>
      </c>
      <c r="I663" t="n">
        <v>4.9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42675-2023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45181</v>
      </c>
      <c r="E664" s="1" t="n">
        <v>46295</v>
      </c>
      <c r="F664" t="inlineStr">
        <is>
          <t>VÄSTRA GÖTALANDS LÄN</t>
        </is>
      </c>
      <c r="G664" t="inlineStr">
        <is>
          <t>ULRICEHAMN</t>
        </is>
      </c>
      <c r="I664" t="n">
        <v>0.3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8738-2024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45356</v>
      </c>
      <c r="E665" s="1" t="n">
        <v>46295</v>
      </c>
      <c r="F665" t="inlineStr">
        <is>
          <t>VÄSTRA GÖTALANDS LÄN</t>
        </is>
      </c>
      <c r="G665" t="inlineStr">
        <is>
          <t>ULRICEHAMN</t>
        </is>
      </c>
      <c r="I665" t="n">
        <v>5.6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38984-2023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45163</v>
      </c>
      <c r="E666" s="1" t="n">
        <v>46295</v>
      </c>
      <c r="F666" t="inlineStr">
        <is>
          <t>VÄSTRA GÖTALANDS LÄN</t>
        </is>
      </c>
      <c r="G666" t="inlineStr">
        <is>
          <t>ULRICEHAMN</t>
        </is>
      </c>
      <c r="I666" t="n">
        <v>4.5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32332-2026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46238</v>
      </c>
      <c r="E667" s="1" t="n">
        <v>46295</v>
      </c>
      <c r="F667" t="inlineStr">
        <is>
          <t>VÄSTRA GÖTALANDS LÄN</t>
        </is>
      </c>
      <c r="G667" t="inlineStr">
        <is>
          <t>ULRICEHAMN</t>
        </is>
      </c>
      <c r="I667" t="n">
        <v>2.6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823-2023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44929</v>
      </c>
      <c r="E668" s="1" t="n">
        <v>46295</v>
      </c>
      <c r="F668" t="inlineStr">
        <is>
          <t>VÄSTRA GÖTALANDS LÄN</t>
        </is>
      </c>
      <c r="G668" t="inlineStr">
        <is>
          <t>ULRICEHAMN</t>
        </is>
      </c>
      <c r="I668" t="n">
        <v>5.4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1726-2025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45671</v>
      </c>
      <c r="E669" s="1" t="n">
        <v>46295</v>
      </c>
      <c r="F669" t="inlineStr">
        <is>
          <t>VÄSTRA GÖTALANDS LÄN</t>
        </is>
      </c>
      <c r="G669" t="inlineStr">
        <is>
          <t>ULRICEHAMN</t>
        </is>
      </c>
      <c r="I669" t="n">
        <v>2.5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63094-2023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45273</v>
      </c>
      <c r="E670" s="1" t="n">
        <v>46295</v>
      </c>
      <c r="F670" t="inlineStr">
        <is>
          <t>VÄSTRA GÖTALANDS LÄN</t>
        </is>
      </c>
      <c r="G670" t="inlineStr">
        <is>
          <t>ULRICEHAMN</t>
        </is>
      </c>
      <c r="I670" t="n">
        <v>3.8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60986-2023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45261</v>
      </c>
      <c r="E671" s="1" t="n">
        <v>46295</v>
      </c>
      <c r="F671" t="inlineStr">
        <is>
          <t>VÄSTRA GÖTALANDS LÄN</t>
        </is>
      </c>
      <c r="G671" t="inlineStr">
        <is>
          <t>ULRICEHAMN</t>
        </is>
      </c>
      <c r="I671" t="n">
        <v>2.1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37671-2026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46277</v>
      </c>
      <c r="E672" s="1" t="n">
        <v>46295</v>
      </c>
      <c r="F672" t="inlineStr">
        <is>
          <t>VÄSTRA GÖTALANDS LÄN</t>
        </is>
      </c>
      <c r="G672" t="inlineStr">
        <is>
          <t>ULRICEHAMN</t>
        </is>
      </c>
      <c r="I672" t="n">
        <v>2.7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64282-2023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45280</v>
      </c>
      <c r="E673" s="1" t="n">
        <v>46295</v>
      </c>
      <c r="F673" t="inlineStr">
        <is>
          <t>VÄSTRA GÖTALANDS LÄN</t>
        </is>
      </c>
      <c r="G673" t="inlineStr">
        <is>
          <t>ULRICEHAMN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13160-2025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45735</v>
      </c>
      <c r="E674" s="1" t="n">
        <v>46295</v>
      </c>
      <c r="F674" t="inlineStr">
        <is>
          <t>VÄSTRA GÖTALANDS LÄN</t>
        </is>
      </c>
      <c r="G674" t="inlineStr">
        <is>
          <t>ULRICEHAMN</t>
        </is>
      </c>
      <c r="I674" t="n">
        <v>2.3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16680-2024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45408</v>
      </c>
      <c r="E675" s="1" t="n">
        <v>46295</v>
      </c>
      <c r="F675" t="inlineStr">
        <is>
          <t>VÄSTRA GÖTALANDS LÄN</t>
        </is>
      </c>
      <c r="G675" t="inlineStr">
        <is>
          <t>ULRICEHAMN</t>
        </is>
      </c>
      <c r="I675" t="n">
        <v>2.1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32639-2026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46240</v>
      </c>
      <c r="E676" s="1" t="n">
        <v>46295</v>
      </c>
      <c r="F676" t="inlineStr">
        <is>
          <t>VÄSTRA GÖTALANDS LÄN</t>
        </is>
      </c>
      <c r="G676" t="inlineStr">
        <is>
          <t>ULRICEHAMN</t>
        </is>
      </c>
      <c r="I676" t="n">
        <v>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22407-2023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45070</v>
      </c>
      <c r="E677" s="1" t="n">
        <v>46295</v>
      </c>
      <c r="F677" t="inlineStr">
        <is>
          <t>VÄSTRA GÖTALANDS LÄN</t>
        </is>
      </c>
      <c r="G677" t="inlineStr">
        <is>
          <t>ULRICEHAMN</t>
        </is>
      </c>
      <c r="I677" t="n">
        <v>0.7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2907-2025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45677</v>
      </c>
      <c r="E678" s="1" t="n">
        <v>46295</v>
      </c>
      <c r="F678" t="inlineStr">
        <is>
          <t>VÄSTRA GÖTALANDS LÄN</t>
        </is>
      </c>
      <c r="G678" t="inlineStr">
        <is>
          <t>ULRICEHAMN</t>
        </is>
      </c>
      <c r="I678" t="n">
        <v>0.9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12401-2024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45379</v>
      </c>
      <c r="E679" s="1" t="n">
        <v>46295</v>
      </c>
      <c r="F679" t="inlineStr">
        <is>
          <t>VÄSTRA GÖTALANDS LÄN</t>
        </is>
      </c>
      <c r="G679" t="inlineStr">
        <is>
          <t>ULRICEHAMN</t>
        </is>
      </c>
      <c r="I679" t="n">
        <v>3.2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9208-2024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45357</v>
      </c>
      <c r="E680" s="1" t="n">
        <v>46295</v>
      </c>
      <c r="F680" t="inlineStr">
        <is>
          <t>VÄSTRA GÖTALANDS LÄN</t>
        </is>
      </c>
      <c r="G680" t="inlineStr">
        <is>
          <t>ULRICEHAMN</t>
        </is>
      </c>
      <c r="I680" t="n">
        <v>6.4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60441-2023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45259</v>
      </c>
      <c r="E681" s="1" t="n">
        <v>46295</v>
      </c>
      <c r="F681" t="inlineStr">
        <is>
          <t>VÄSTRA GÖTALANDS LÄN</t>
        </is>
      </c>
      <c r="G681" t="inlineStr">
        <is>
          <t>ULRICEHAMN</t>
        </is>
      </c>
      <c r="I681" t="n">
        <v>6.5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45523-2024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45578</v>
      </c>
      <c r="E682" s="1" t="n">
        <v>46295</v>
      </c>
      <c r="F682" t="inlineStr">
        <is>
          <t>VÄSTRA GÖTALANDS LÄN</t>
        </is>
      </c>
      <c r="G682" t="inlineStr">
        <is>
          <t>ULRICEHAMN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57175-2024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45629</v>
      </c>
      <c r="E683" s="1" t="n">
        <v>46295</v>
      </c>
      <c r="F683" t="inlineStr">
        <is>
          <t>VÄSTRA GÖTALANDS LÄN</t>
        </is>
      </c>
      <c r="G683" t="inlineStr">
        <is>
          <t>ULRICEHAMN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51200-2024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45603</v>
      </c>
      <c r="E684" s="1" t="n">
        <v>46295</v>
      </c>
      <c r="F684" t="inlineStr">
        <is>
          <t>VÄSTRA GÖTALANDS LÄN</t>
        </is>
      </c>
      <c r="G684" t="inlineStr">
        <is>
          <t>ULRICEHAMN</t>
        </is>
      </c>
      <c r="H684" t="inlineStr">
        <is>
          <t>Kommuner</t>
        </is>
      </c>
      <c r="I684" t="n">
        <v>1.1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16475-2024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45408</v>
      </c>
      <c r="E685" s="1" t="n">
        <v>46295</v>
      </c>
      <c r="F685" t="inlineStr">
        <is>
          <t>VÄSTRA GÖTALANDS LÄN</t>
        </is>
      </c>
      <c r="G685" t="inlineStr">
        <is>
          <t>ULRICEHAMN</t>
        </is>
      </c>
      <c r="I685" t="n">
        <v>1.1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33178-2026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46245</v>
      </c>
      <c r="E686" s="1" t="n">
        <v>46295</v>
      </c>
      <c r="F686" t="inlineStr">
        <is>
          <t>VÄSTRA GÖTALANDS LÄN</t>
        </is>
      </c>
      <c r="G686" t="inlineStr">
        <is>
          <t>ULRICEHAMN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5471-2024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45332</v>
      </c>
      <c r="E687" s="1" t="n">
        <v>46295</v>
      </c>
      <c r="F687" t="inlineStr">
        <is>
          <t>VÄSTRA GÖTALANDS LÄN</t>
        </is>
      </c>
      <c r="G687" t="inlineStr">
        <is>
          <t>ULRICEHAMN</t>
        </is>
      </c>
      <c r="I687" t="n">
        <v>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22942-2023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45072</v>
      </c>
      <c r="E688" s="1" t="n">
        <v>46295</v>
      </c>
      <c r="F688" t="inlineStr">
        <is>
          <t>VÄSTRA GÖTALANDS LÄN</t>
        </is>
      </c>
      <c r="G688" t="inlineStr">
        <is>
          <t>ULRICEHAMN</t>
        </is>
      </c>
      <c r="I688" t="n">
        <v>1.5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51392-2024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45604</v>
      </c>
      <c r="E689" s="1" t="n">
        <v>46295</v>
      </c>
      <c r="F689" t="inlineStr">
        <is>
          <t>VÄSTRA GÖTALANDS LÄN</t>
        </is>
      </c>
      <c r="G689" t="inlineStr">
        <is>
          <t>ULRICEHAMN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49545-2025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45939</v>
      </c>
      <c r="E690" s="1" t="n">
        <v>46295</v>
      </c>
      <c r="F690" t="inlineStr">
        <is>
          <t>VÄSTRA GÖTALANDS LÄN</t>
        </is>
      </c>
      <c r="G690" t="inlineStr">
        <is>
          <t>ULRICEHAMN</t>
        </is>
      </c>
      <c r="I690" t="n">
        <v>5.5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33411-2026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46247</v>
      </c>
      <c r="E691" s="1" t="n">
        <v>46295</v>
      </c>
      <c r="F691" t="inlineStr">
        <is>
          <t>VÄSTRA GÖTALANDS LÄN</t>
        </is>
      </c>
      <c r="G691" t="inlineStr">
        <is>
          <t>ULRICEHAMN</t>
        </is>
      </c>
      <c r="I691" t="n">
        <v>2.6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55455-2023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45231</v>
      </c>
      <c r="E692" s="1" t="n">
        <v>46295</v>
      </c>
      <c r="F692" t="inlineStr">
        <is>
          <t>VÄSTRA GÖTALANDS LÄN</t>
        </is>
      </c>
      <c r="G692" t="inlineStr">
        <is>
          <t>ULRICEHAMN</t>
        </is>
      </c>
      <c r="I692" t="n">
        <v>2.5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21314-2025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45782</v>
      </c>
      <c r="E693" s="1" t="n">
        <v>46295</v>
      </c>
      <c r="F693" t="inlineStr">
        <is>
          <t>VÄSTRA GÖTALANDS LÄN</t>
        </is>
      </c>
      <c r="G693" t="inlineStr">
        <is>
          <t>ULRICEHAMN</t>
        </is>
      </c>
      <c r="I693" t="n">
        <v>0.6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21831-2025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45784</v>
      </c>
      <c r="E694" s="1" t="n">
        <v>46295</v>
      </c>
      <c r="F694" t="inlineStr">
        <is>
          <t>VÄSTRA GÖTALANDS LÄN</t>
        </is>
      </c>
      <c r="G694" t="inlineStr">
        <is>
          <t>ULRICEHAMN</t>
        </is>
      </c>
      <c r="I694" t="n">
        <v>1.4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16993-2024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45412</v>
      </c>
      <c r="E695" s="1" t="n">
        <v>46295</v>
      </c>
      <c r="F695" t="inlineStr">
        <is>
          <t>VÄSTRA GÖTALANDS LÄN</t>
        </is>
      </c>
      <c r="G695" t="inlineStr">
        <is>
          <t>ULRICEHAMN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6886-2026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46057</v>
      </c>
      <c r="E696" s="1" t="n">
        <v>46295</v>
      </c>
      <c r="F696" t="inlineStr">
        <is>
          <t>VÄSTRA GÖTALANDS LÄN</t>
        </is>
      </c>
      <c r="G696" t="inlineStr">
        <is>
          <t>ULRICEHAMN</t>
        </is>
      </c>
      <c r="I696" t="n">
        <v>3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50002-2024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45598</v>
      </c>
      <c r="E697" s="1" t="n">
        <v>46295</v>
      </c>
      <c r="F697" t="inlineStr">
        <is>
          <t>VÄSTRA GÖTALANDS LÄN</t>
        </is>
      </c>
      <c r="G697" t="inlineStr">
        <is>
          <t>ULRICEHAMN</t>
        </is>
      </c>
      <c r="I697" t="n">
        <v>2.4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22110-2025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45785</v>
      </c>
      <c r="E698" s="1" t="n">
        <v>46295</v>
      </c>
      <c r="F698" t="inlineStr">
        <is>
          <t>VÄSTRA GÖTALANDS LÄN</t>
        </is>
      </c>
      <c r="G698" t="inlineStr">
        <is>
          <t>ULRICEHAMN</t>
        </is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22152-2025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45785</v>
      </c>
      <c r="E699" s="1" t="n">
        <v>46295</v>
      </c>
      <c r="F699" t="inlineStr">
        <is>
          <t>VÄSTRA GÖTALANDS LÄN</t>
        </is>
      </c>
      <c r="G699" t="inlineStr">
        <is>
          <t>ULRICEHAMN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8368-2025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45709</v>
      </c>
      <c r="E700" s="1" t="n">
        <v>46295</v>
      </c>
      <c r="F700" t="inlineStr">
        <is>
          <t>VÄSTRA GÖTALANDS LÄN</t>
        </is>
      </c>
      <c r="G700" t="inlineStr">
        <is>
          <t>ULRICEHAMN</t>
        </is>
      </c>
      <c r="I700" t="n">
        <v>1.6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33631-2026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46248</v>
      </c>
      <c r="E701" s="1" t="n">
        <v>46295</v>
      </c>
      <c r="F701" t="inlineStr">
        <is>
          <t>VÄSTRA GÖTALANDS LÄN</t>
        </is>
      </c>
      <c r="G701" t="inlineStr">
        <is>
          <t>ULRICEHAMN</t>
        </is>
      </c>
      <c r="I701" t="n">
        <v>2.9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22939-2025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45790</v>
      </c>
      <c r="E702" s="1" t="n">
        <v>46295</v>
      </c>
      <c r="F702" t="inlineStr">
        <is>
          <t>VÄSTRA GÖTALANDS LÄN</t>
        </is>
      </c>
      <c r="G702" t="inlineStr">
        <is>
          <t>ULRICEHAMN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40075-2026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46293</v>
      </c>
      <c r="E703" s="1" t="n">
        <v>46295</v>
      </c>
      <c r="F703" t="inlineStr">
        <is>
          <t>VÄSTRA GÖTALANDS LÄN</t>
        </is>
      </c>
      <c r="G703" t="inlineStr">
        <is>
          <t>ULRICEHAMN</t>
        </is>
      </c>
      <c r="I703" t="n">
        <v>3.7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40277-2026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46294</v>
      </c>
      <c r="E704" s="1" t="n">
        <v>46295</v>
      </c>
      <c r="F704" t="inlineStr">
        <is>
          <t>VÄSTRA GÖTALANDS LÄN</t>
        </is>
      </c>
      <c r="G704" t="inlineStr">
        <is>
          <t>ULRICEHAMN</t>
        </is>
      </c>
      <c r="I704" t="n">
        <v>1.4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40079-2026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46293</v>
      </c>
      <c r="E705" s="1" t="n">
        <v>46295</v>
      </c>
      <c r="F705" t="inlineStr">
        <is>
          <t>VÄSTRA GÖTALANDS LÄN</t>
        </is>
      </c>
      <c r="G705" t="inlineStr">
        <is>
          <t>ULRICEHAMN</t>
        </is>
      </c>
      <c r="I705" t="n">
        <v>1.3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40082-2026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46293</v>
      </c>
      <c r="E706" s="1" t="n">
        <v>46295</v>
      </c>
      <c r="F706" t="inlineStr">
        <is>
          <t>VÄSTRA GÖTALANDS LÄN</t>
        </is>
      </c>
      <c r="G706" t="inlineStr">
        <is>
          <t>ULRICEHAMN</t>
        </is>
      </c>
      <c r="I706" t="n">
        <v>5.6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S 1872-2022</t>
        </is>
      </c>
      <c r="B707" t="inlineStr">
        <is>
          <t>samrådsanmälan</t>
        </is>
      </c>
      <c r="C707" t="inlineStr">
        <is>
          <t>Askåterföring</t>
        </is>
      </c>
      <c r="D707" s="1" t="n">
        <v>44658</v>
      </c>
      <c r="E707" s="1" t="n">
        <v>46295</v>
      </c>
      <c r="F707" t="inlineStr">
        <is>
          <t>VÄSTRA GÖTALANDS LÄN</t>
        </is>
      </c>
      <c r="G707" t="inlineStr">
        <is>
          <t>ULRICEHAMN</t>
        </is>
      </c>
      <c r="I707" t="n">
        <v>56.8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S 1263-2024</t>
        </is>
      </c>
      <c r="B708" t="inlineStr">
        <is>
          <t>samrådsanmälan</t>
        </is>
      </c>
      <c r="C708" t="inlineStr">
        <is>
          <t>Askåterföring</t>
        </is>
      </c>
      <c r="D708" s="1" t="n">
        <v>45400</v>
      </c>
      <c r="E708" s="1" t="n">
        <v>46295</v>
      </c>
      <c r="F708" t="inlineStr">
        <is>
          <t>VÄSTRA GÖTALANDS LÄN</t>
        </is>
      </c>
      <c r="G708" t="inlineStr">
        <is>
          <t>ULRICEHAMN</t>
        </is>
      </c>
      <c r="I708" t="n">
        <v>8.699999999999999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S 5926-2022</t>
        </is>
      </c>
      <c r="B709" t="inlineStr">
        <is>
          <t>samrådsanmälan</t>
        </is>
      </c>
      <c r="C709" t="inlineStr">
        <is>
          <t>Annan skogsbruksåtgärd</t>
        </is>
      </c>
      <c r="D709" s="1" t="n">
        <v>44854</v>
      </c>
      <c r="E709" s="1" t="n">
        <v>46295</v>
      </c>
      <c r="F709" t="inlineStr">
        <is>
          <t>VÄSTRA GÖTALANDS LÄN</t>
        </is>
      </c>
      <c r="G709" t="inlineStr">
        <is>
          <t>ULRICEHAMN</t>
        </is>
      </c>
      <c r="I709" t="n">
        <v>5.7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S 4202-2022</t>
        </is>
      </c>
      <c r="B710" t="inlineStr">
        <is>
          <t>samrådsanmälan</t>
        </is>
      </c>
      <c r="C710" t="inlineStr">
        <is>
          <t>Åtgärd i nyckelbiotop</t>
        </is>
      </c>
      <c r="D710" s="1" t="n">
        <v>44771</v>
      </c>
      <c r="E710" s="1" t="n">
        <v>46295</v>
      </c>
      <c r="F710" t="inlineStr">
        <is>
          <t>VÄSTRA GÖTALANDS LÄN</t>
        </is>
      </c>
      <c r="G710" t="inlineStr">
        <is>
          <t>ULRICEHAMN</t>
        </is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S 7380-2021</t>
        </is>
      </c>
      <c r="B711" t="inlineStr">
        <is>
          <t>samrådsanmälan</t>
        </is>
      </c>
      <c r="C711" t="inlineStr">
        <is>
          <t>Askåterföring</t>
        </is>
      </c>
      <c r="D711" s="1" t="n">
        <v>44470</v>
      </c>
      <c r="E711" s="1" t="n">
        <v>46295</v>
      </c>
      <c r="F711" t="inlineStr">
        <is>
          <t>VÄSTRA GÖTALANDS LÄN</t>
        </is>
      </c>
      <c r="G711" t="inlineStr">
        <is>
          <t>ULRICEHAMN</t>
        </is>
      </c>
      <c r="I711" t="n">
        <v>15.7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S 2913-2023</t>
        </is>
      </c>
      <c r="B712" t="inlineStr">
        <is>
          <t>samrådsanmälan</t>
        </is>
      </c>
      <c r="C712" t="inlineStr">
        <is>
          <t>Askåterföring</t>
        </is>
      </c>
      <c r="D712" s="1" t="n">
        <v>45169</v>
      </c>
      <c r="E712" s="1" t="n">
        <v>46295</v>
      </c>
      <c r="F712" t="inlineStr">
        <is>
          <t>VÄSTRA GÖTALANDS LÄN</t>
        </is>
      </c>
      <c r="G712" t="inlineStr">
        <is>
          <t>ULRICEHAMN</t>
        </is>
      </c>
      <c r="I712" t="n">
        <v>32.7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S 3864-2022</t>
        </is>
      </c>
      <c r="B713" t="inlineStr">
        <is>
          <t>samrådsanmälan</t>
        </is>
      </c>
      <c r="C713" t="inlineStr">
        <is>
          <t>Askåterföring</t>
        </is>
      </c>
      <c r="D713" s="1" t="n">
        <v>44747</v>
      </c>
      <c r="E713" s="1" t="n">
        <v>46295</v>
      </c>
      <c r="F713" t="inlineStr">
        <is>
          <t>VÄSTRA GÖTALANDS LÄN</t>
        </is>
      </c>
      <c r="G713" t="inlineStr">
        <is>
          <t>ULRICEHAMN</t>
        </is>
      </c>
      <c r="I713" t="n">
        <v>6.8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S 425-2023</t>
        </is>
      </c>
      <c r="B714" t="inlineStr">
        <is>
          <t>samrådsanmälan</t>
        </is>
      </c>
      <c r="C714" t="inlineStr">
        <is>
          <t>Askåterföring</t>
        </is>
      </c>
      <c r="D714" s="1" t="n">
        <v>44960</v>
      </c>
      <c r="E714" s="1" t="n">
        <v>46295</v>
      </c>
      <c r="F714" t="inlineStr">
        <is>
          <t>VÄSTRA GÖTALANDS LÄN</t>
        </is>
      </c>
      <c r="G714" t="inlineStr">
        <is>
          <t>ULRICEHAMN</t>
        </is>
      </c>
      <c r="I714" t="n">
        <v>11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S 8871-2021</t>
        </is>
      </c>
      <c r="B715" t="inlineStr">
        <is>
          <t>samrådsanmälan</t>
        </is>
      </c>
      <c r="C715" t="inlineStr">
        <is>
          <t>Askåterföring</t>
        </is>
      </c>
      <c r="D715" s="1" t="n">
        <v>44503</v>
      </c>
      <c r="E715" s="1" t="n">
        <v>46295</v>
      </c>
      <c r="F715" t="inlineStr">
        <is>
          <t>VÄSTRA GÖTALANDS LÄN</t>
        </is>
      </c>
      <c r="G715" t="inlineStr">
        <is>
          <t>ULRICEHAMN</t>
        </is>
      </c>
      <c r="I715" t="n">
        <v>53.1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S 621-2025</t>
        </is>
      </c>
      <c r="B716" t="inlineStr">
        <is>
          <t>samrådsanmälan</t>
        </is>
      </c>
      <c r="C716" t="inlineStr">
        <is>
          <t>Annan skogsbruksåtgärd</t>
        </is>
      </c>
      <c r="D716" s="1" t="n">
        <v>45714</v>
      </c>
      <c r="E716" s="1" t="n">
        <v>46295</v>
      </c>
      <c r="F716" t="inlineStr">
        <is>
          <t>VÄSTRA GÖTALANDS LÄN</t>
        </is>
      </c>
      <c r="G716" t="inlineStr">
        <is>
          <t>ULRICEHAMN</t>
        </is>
      </c>
      <c r="I716" t="n">
        <v>0.1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S 2904-2023</t>
        </is>
      </c>
      <c r="B717" t="inlineStr">
        <is>
          <t>samrådsanmälan</t>
        </is>
      </c>
      <c r="C717" t="inlineStr">
        <is>
          <t>Annan skogsbruksåtgärd</t>
        </is>
      </c>
      <c r="D717" s="1" t="n">
        <v>45171</v>
      </c>
      <c r="E717" s="1" t="n">
        <v>46295</v>
      </c>
      <c r="F717" t="inlineStr">
        <is>
          <t>VÄSTRA GÖTALANDS LÄN</t>
        </is>
      </c>
      <c r="G717" t="inlineStr">
        <is>
          <t>ULRICEHAMN</t>
        </is>
      </c>
      <c r="I717" t="n">
        <v>2.9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>
      <c r="A718" t="inlineStr">
        <is>
          <t>S 385-2026</t>
        </is>
      </c>
      <c r="B718" t="inlineStr">
        <is>
          <t>samrådsanmälan</t>
        </is>
      </c>
      <c r="C718" t="inlineStr">
        <is>
          <t>Annan skogsbruksåtgärd</t>
        </is>
      </c>
      <c r="D718" s="1" t="n">
        <v>46066</v>
      </c>
      <c r="E718" s="1" t="n">
        <v>46295</v>
      </c>
      <c r="F718" t="inlineStr">
        <is>
          <t>VÄSTRA GÖTALANDS LÄN</t>
        </is>
      </c>
      <c r="G718" t="inlineStr">
        <is>
          <t>ULRICEHAMN</t>
        </is>
      </c>
      <c r="I718" t="n">
        <v>0.2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2026-09-30T01:58:17Z</dcterms:created>
  <dcterms:modified xmlns:dcterms="http://purl.org/dc/terms/" xmlns:xsi="http://www.w3.org/2001/XMLSchema-instance" xsi:type="dcterms:W3CDTF">2026-09-30T01:58:18Z</dcterms:modified>
</cp:coreProperties>
</file>