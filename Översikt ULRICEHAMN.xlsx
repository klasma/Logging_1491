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46268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46268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46268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46268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46268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46268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46268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46268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46268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46268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46268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46268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46268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26380-2025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46268</v>
      </c>
      <c r="F26" t="inlineStr">
        <is>
          <t>VÄSTRA GÖTALANDS LÄN</t>
        </is>
      </c>
      <c r="G26" t="inlineStr">
        <is>
          <t>ULRICEHAMN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26380-2025 artfynd.xlsx", "A 26380-2025")</f>
        <v/>
      </c>
      <c r="X26">
        <f>HYPERLINK("https://klasma.github.io/Logging_1491/kartor/A 26380-2025 karta.png", "A 26380-2025")</f>
        <v/>
      </c>
      <c r="Y26">
        <f>HYPERLINK("https://klasma.github.io/Logging_1491/kartor_geotiff/A 26380-2025 georefererad karta.tif", "A 26380-2025")</f>
        <v/>
      </c>
      <c r="AA26">
        <f>HYPERLINK("https://klasma.github.io/Logging_1491/klagomål/A 26380-2025 FSC-klagomål.docx", "A 26380-2025")</f>
        <v/>
      </c>
      <c r="AB26">
        <f>HYPERLINK("https://klasma.github.io/Logging_1491/klagomålsmail/A 26380-2025 FSC-klagomål mail.docx", "A 26380-2025")</f>
        <v/>
      </c>
      <c r="AC26">
        <f>HYPERLINK("https://klasma.github.io/Logging_1491/tillsyn/A 26380-2025 tillsynsbegäran.docx", "A 26380-2025")</f>
        <v/>
      </c>
      <c r="AD26">
        <f>HYPERLINK("https://klasma.github.io/Logging_1491/tillsynsmail/A 26380-2025 tillsynsbegäran mail.docx", "A 26380-2025")</f>
        <v/>
      </c>
      <c r="AE26">
        <f>HYPERLINK("https://klasma.github.io/Logging_1491/fåglar/A 26380-2025 prioriterade fågelarter.docx", "A 26380-2025")</f>
        <v/>
      </c>
    </row>
    <row r="27" ht="15" customHeight="1">
      <c r="A27" t="inlineStr">
        <is>
          <t>A 26381-2025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46268</v>
      </c>
      <c r="F27" t="inlineStr">
        <is>
          <t>VÄSTRA GÖTALANDS LÄN</t>
        </is>
      </c>
      <c r="G27" t="inlineStr">
        <is>
          <t>ULRICEHAMN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26381-2025 artfynd.xlsx", "A 26381-2025")</f>
        <v/>
      </c>
      <c r="X27">
        <f>HYPERLINK("https://klasma.github.io/Logging_1491/kartor/A 26381-2025 karta.png", "A 26381-2025")</f>
        <v/>
      </c>
      <c r="Y27">
        <f>HYPERLINK("https://klasma.github.io/Logging_1491/kartor_geotiff/A 26381-2025 georefererad karta.tif", "A 26381-2025")</f>
        <v/>
      </c>
      <c r="AA27">
        <f>HYPERLINK("https://klasma.github.io/Logging_1491/klagomål/A 26381-2025 FSC-klagomål.docx", "A 26381-2025")</f>
        <v/>
      </c>
      <c r="AB27">
        <f>HYPERLINK("https://klasma.github.io/Logging_1491/klagomålsmail/A 26381-2025 FSC-klagomål mail.docx", "A 26381-2025")</f>
        <v/>
      </c>
      <c r="AC27">
        <f>HYPERLINK("https://klasma.github.io/Logging_1491/tillsyn/A 26381-2025 tillsynsbegäran.docx", "A 26381-2025")</f>
        <v/>
      </c>
      <c r="AD27">
        <f>HYPERLINK("https://klasma.github.io/Logging_1491/tillsynsmail/A 26381-2025 tillsynsbegäran mail.docx", "A 26381-2025")</f>
        <v/>
      </c>
      <c r="AE27">
        <f>HYPERLINK("https://klasma.github.io/Logging_1491/fåglar/A 26381-2025 prioriterade fågelarter.docx", "A 26381-2025")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46268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46268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HYPERLINK("https://klasma.github.io/Logging_1491/artfynd/A 64810-2021 artfynd.xlsx", "A 64810-2021")</f>
        <v/>
      </c>
      <c r="X29">
        <f>HYPERLINK("https://klasma.github.io/Logging_1491/kartor/A 64810-2021 karta.png", "A 64810-2021")</f>
        <v/>
      </c>
      <c r="Y29">
        <f>HYPERLINK("https://klasma.github.io/Logging_1491/kartor_geotiff/A 64810-2021 georefererad karta.tif", "A 64810-2021")</f>
        <v/>
      </c>
      <c r="AA29">
        <f>HYPERLINK("https://klasma.github.io/Logging_1491/klagomål/A 64810-2021 FSC-klagomål.docx", "A 64810-2021")</f>
        <v/>
      </c>
      <c r="AB29">
        <f>HYPERLINK("https://klasma.github.io/Logging_1491/klagomålsmail/A 64810-2021 FSC-klagomål mail.docx", "A 64810-2021")</f>
        <v/>
      </c>
      <c r="AC29">
        <f>HYPERLINK("https://klasma.github.io/Logging_1491/tillsyn/A 64810-2021 tillsynsbegäran.docx", "A 64810-2021")</f>
        <v/>
      </c>
      <c r="AD29">
        <f>HYPERLINK("https://klasma.github.io/Logging_1491/tillsynsmail/A 64810-2021 tillsynsbegäran mail.docx", "A 64810-2021")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46268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46268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37238-2025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46268</v>
      </c>
      <c r="F32" t="inlineStr">
        <is>
          <t>VÄSTRA GÖTALANDS LÄN</t>
        </is>
      </c>
      <c r="G32" t="inlineStr">
        <is>
          <t>ULRICEHAMN</t>
        </is>
      </c>
      <c r="I32" t="n">
        <v>7.6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37238-2025 artfynd.xlsx", "A 37238-2025")</f>
        <v/>
      </c>
      <c r="X32">
        <f>HYPERLINK("https://klasma.github.io/Logging_1491/kartor/A 37238-2025 karta.png", "A 37238-2025")</f>
        <v/>
      </c>
      <c r="Y32">
        <f>HYPERLINK("https://klasma.github.io/Logging_1491/kartor_geotiff/A 37238-2025 georefererad karta.tif", "A 37238-2025")</f>
        <v/>
      </c>
      <c r="AA32">
        <f>HYPERLINK("https://klasma.github.io/Logging_1491/klagomål/A 37238-2025 FSC-klagomål.docx", "A 37238-2025")</f>
        <v/>
      </c>
      <c r="AB32">
        <f>HYPERLINK("https://klasma.github.io/Logging_1491/klagomålsmail/A 37238-2025 FSC-klagomål mail.docx", "A 37238-2025")</f>
        <v/>
      </c>
      <c r="AC32">
        <f>HYPERLINK("https://klasma.github.io/Logging_1491/tillsyn/A 37238-2025 tillsynsbegäran.docx", "A 37238-2025")</f>
        <v/>
      </c>
      <c r="AD32">
        <f>HYPERLINK("https://klasma.github.io/Logging_1491/tillsynsmail/A 37238-2025 tillsynsbegäran mail.docx", "A 37238-2025")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46268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HYPERLINK("https://klasma.github.io/Logging_1491/artfynd/A 55007-2024 artfynd.xlsx", "A 55007-2024")</f>
        <v/>
      </c>
      <c r="X33">
        <f>HYPERLINK("https://klasma.github.io/Logging_1491/kartor/A 55007-2024 karta.png", "A 55007-2024")</f>
        <v/>
      </c>
      <c r="Y33">
        <f>HYPERLINK("https://klasma.github.io/Logging_1491/kartor_geotiff/A 55007-2024 georefererad karta.tif", "A 55007-2024")</f>
        <v/>
      </c>
      <c r="AA33">
        <f>HYPERLINK("https://klasma.github.io/Logging_1491/klagomål/A 55007-2024 FSC-klagomål.docx", "A 55007-2024")</f>
        <v/>
      </c>
      <c r="AB33">
        <f>HYPERLINK("https://klasma.github.io/Logging_1491/klagomålsmail/A 55007-2024 FSC-klagomål mail.docx", "A 55007-2024")</f>
        <v/>
      </c>
      <c r="AC33">
        <f>HYPERLINK("https://klasma.github.io/Logging_1491/tillsyn/A 55007-2024 tillsynsbegäran.docx", "A 55007-2024")</f>
        <v/>
      </c>
      <c r="AD33">
        <f>HYPERLINK("https://klasma.github.io/Logging_1491/tillsynsmail/A 55007-2024 tillsynsbegäran mail.docx", "A 55007-2024")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46268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46268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46268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46268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13789-2026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46268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13789-2026 artfynd.xlsx", "A 13789-2026")</f>
        <v/>
      </c>
      <c r="X38">
        <f>HYPERLINK("https://klasma.github.io/Logging_1491/kartor/A 13789-2026 karta.png", "A 13789-2026")</f>
        <v/>
      </c>
      <c r="Y38">
        <f>HYPERLINK("https://klasma.github.io/Logging_1491/kartor_geotiff/A 13789-2026 georefererad karta.tif", "A 13789-2026")</f>
        <v/>
      </c>
      <c r="AA38">
        <f>HYPERLINK("https://klasma.github.io/Logging_1491/klagomål/A 13789-2026 FSC-klagomål.docx", "A 13789-2026")</f>
        <v/>
      </c>
      <c r="AB38">
        <f>HYPERLINK("https://klasma.github.io/Logging_1491/klagomålsmail/A 13789-2026 FSC-klagomål mail.docx", "A 13789-2026")</f>
        <v/>
      </c>
      <c r="AC38">
        <f>HYPERLINK("https://klasma.github.io/Logging_1491/tillsyn/A 13789-2026 tillsynsbegäran.docx", "A 13789-2026")</f>
        <v/>
      </c>
      <c r="AD38">
        <f>HYPERLINK("https://klasma.github.io/Logging_1491/tillsynsmail/A 13789-2026 tillsynsbegäran mail.docx", "A 13789-2026")</f>
        <v/>
      </c>
    </row>
    <row r="39" ht="15" customHeight="1">
      <c r="A39" t="inlineStr">
        <is>
          <t>A 62032-2025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46004</v>
      </c>
      <c r="E39" s="1" t="n">
        <v>46268</v>
      </c>
      <c r="F39" t="inlineStr">
        <is>
          <t>VÄSTRA GÖTALANDS LÄN</t>
        </is>
      </c>
      <c r="G39" t="inlineStr">
        <is>
          <t>ULRICEHAMN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62032-2025 artfynd.xlsx", "A 62032-2025")</f>
        <v/>
      </c>
      <c r="X39">
        <f>HYPERLINK("https://klasma.github.io/Logging_1491/kartor/A 62032-2025 karta.png", "A 62032-2025")</f>
        <v/>
      </c>
      <c r="Y39">
        <f>HYPERLINK("https://klasma.github.io/Logging_1491/kartor_geotiff/A 62032-2025 georefererad karta.tif", "A 62032-2025")</f>
        <v/>
      </c>
      <c r="AA39">
        <f>HYPERLINK("https://klasma.github.io/Logging_1491/klagomål/A 62032-2025 FSC-klagomål.docx", "A 62032-2025")</f>
        <v/>
      </c>
      <c r="AB39">
        <f>HYPERLINK("https://klasma.github.io/Logging_1491/klagomålsmail/A 62032-2025 FSC-klagomål mail.docx", "A 62032-2025")</f>
        <v/>
      </c>
      <c r="AC39">
        <f>HYPERLINK("https://klasma.github.io/Logging_1491/tillsyn/A 62032-2025 tillsynsbegäran.docx", "A 62032-2025")</f>
        <v/>
      </c>
      <c r="AD39">
        <f>HYPERLINK("https://klasma.github.io/Logging_1491/tillsynsmail/A 62032-2025 tillsynsbegäran mail.docx", "A 62032-2025")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46268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73932-2021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46268</v>
      </c>
      <c r="F41" t="inlineStr">
        <is>
          <t>VÄSTRA GÖTALANDS LÄN</t>
        </is>
      </c>
      <c r="G41" t="inlineStr">
        <is>
          <t>ULRICEHAMN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Backsippa</t>
        </is>
      </c>
      <c r="W41">
        <f>HYPERLINK("https://klasma.github.io/Logging_1491/artfynd/A 73932-2021 artfynd.xlsx", "A 73932-2021")</f>
        <v/>
      </c>
      <c r="X41">
        <f>HYPERLINK("https://klasma.github.io/Logging_1491/kartor/A 73932-2021 karta.png", "A 73932-2021")</f>
        <v/>
      </c>
      <c r="Y41">
        <f>HYPERLINK("https://klasma.github.io/Logging_1491/kartor_geotiff/A 73932-2021 georefererad karta.tif", "A 73932-2021")</f>
        <v/>
      </c>
      <c r="AA41">
        <f>HYPERLINK("https://klasma.github.io/Logging_1491/klagomål/A 73932-2021 FSC-klagomål.docx", "A 73932-2021")</f>
        <v/>
      </c>
      <c r="AB41">
        <f>HYPERLINK("https://klasma.github.io/Logging_1491/klagomålsmail/A 73932-2021 FSC-klagomål mail.docx", "A 73932-2021")</f>
        <v/>
      </c>
      <c r="AC41">
        <f>HYPERLINK("https://klasma.github.io/Logging_1491/tillsyn/A 73932-2021 tillsynsbegäran.docx", "A 73932-2021")</f>
        <v/>
      </c>
      <c r="AD41">
        <f>HYPERLINK("https://klasma.github.io/Logging_1491/tillsynsmail/A 73932-2021 tillsynsbegäran mail.docx", "A 73932-2021")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46268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46268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46268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46268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46268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46268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46268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46268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46268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46268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46268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46268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46268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46268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46268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46268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46268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46268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46268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64832-2021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46268</v>
      </c>
      <c r="F61" t="inlineStr">
        <is>
          <t>VÄSTRA GÖTALANDS LÄN</t>
        </is>
      </c>
      <c r="G61" t="inlineStr">
        <is>
          <t>ULRICEHAMN</t>
        </is>
      </c>
      <c r="I61" t="n">
        <v>19.4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46268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46268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46268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46268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46268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46268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46268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46268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46268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46268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46268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46268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46268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46268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46268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46268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46268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46268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46268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46268</v>
      </c>
      <c r="F81" t="inlineStr">
        <is>
          <t>VÄSTRA GÖTALANDS LÄN</t>
        </is>
      </c>
      <c r="G81" t="inlineStr">
        <is>
          <t>ULRICEHAMN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46268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46268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46268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46268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46268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46268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46268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46268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46268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46268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46268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46268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46268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46268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46268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46268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46268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46268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46268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46268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46268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46268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46268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46268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46268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46268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46268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46268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46268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46268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46268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46268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46268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46268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46268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44772</v>
      </c>
      <c r="E117" s="1" t="n">
        <v>46268</v>
      </c>
      <c r="F117" t="inlineStr">
        <is>
          <t>VÄSTRA GÖTALANDS LÄN</t>
        </is>
      </c>
      <c r="G117" t="inlineStr">
        <is>
          <t>ULRICEHAMN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46268</v>
      </c>
      <c r="F118" t="inlineStr">
        <is>
          <t>VÄSTRA GÖTALANDS LÄN</t>
        </is>
      </c>
      <c r="G118" t="inlineStr">
        <is>
          <t>ULRICEHAMN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45412</v>
      </c>
      <c r="E119" s="1" t="n">
        <v>46268</v>
      </c>
      <c r="F119" t="inlineStr">
        <is>
          <t>VÄSTRA GÖTALANDS LÄN</t>
        </is>
      </c>
      <c r="G119" t="inlineStr">
        <is>
          <t>ULRICEHAMN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44760</v>
      </c>
      <c r="E120" s="1" t="n">
        <v>46268</v>
      </c>
      <c r="F120" t="inlineStr">
        <is>
          <t>VÄSTRA GÖTALANDS LÄN</t>
        </is>
      </c>
      <c r="G120" t="inlineStr">
        <is>
          <t>ULRICEHAMN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45348</v>
      </c>
      <c r="E121" s="1" t="n">
        <v>46268</v>
      </c>
      <c r="F121" t="inlineStr">
        <is>
          <t>VÄSTRA GÖTALANDS LÄN</t>
        </is>
      </c>
      <c r="G121" t="inlineStr">
        <is>
          <t>ULRICEHAMN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50677-2021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44460</v>
      </c>
      <c r="E122" s="1" t="n">
        <v>46268</v>
      </c>
      <c r="F122" t="inlineStr">
        <is>
          <t>VÄSTRA GÖTALANDS LÄN</t>
        </is>
      </c>
      <c r="G122" t="inlineStr">
        <is>
          <t>ULRICEHAMN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46268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46268</v>
      </c>
      <c r="F124" t="inlineStr">
        <is>
          <t>VÄSTRA GÖTALANDS LÄN</t>
        </is>
      </c>
      <c r="G124" t="inlineStr">
        <is>
          <t>ULRICEHAMN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46268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46268</v>
      </c>
      <c r="F126" t="inlineStr">
        <is>
          <t>VÄSTRA GÖTALANDS LÄN</t>
        </is>
      </c>
      <c r="G126" t="inlineStr">
        <is>
          <t>ULRICEHAMN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46268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46268</v>
      </c>
      <c r="F128" t="inlineStr">
        <is>
          <t>VÄSTRA GÖTALANDS LÄN</t>
        </is>
      </c>
      <c r="G128" t="inlineStr">
        <is>
          <t>ULRICEHAMN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46268</v>
      </c>
      <c r="F129" t="inlineStr">
        <is>
          <t>VÄSTRA GÖTALANDS LÄN</t>
        </is>
      </c>
      <c r="G129" t="inlineStr">
        <is>
          <t>ULRICEHAMN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46268</v>
      </c>
      <c r="F130" t="inlineStr">
        <is>
          <t>VÄSTRA GÖTALANDS LÄN</t>
        </is>
      </c>
      <c r="G130" t="inlineStr">
        <is>
          <t>ULRICEHAMN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46268</v>
      </c>
      <c r="F131" t="inlineStr">
        <is>
          <t>VÄSTRA GÖTALANDS LÄN</t>
        </is>
      </c>
      <c r="G131" t="inlineStr">
        <is>
          <t>ULRICEHAMN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46268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45585</v>
      </c>
      <c r="E133" s="1" t="n">
        <v>46268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44831</v>
      </c>
      <c r="E134" s="1" t="n">
        <v>46268</v>
      </c>
      <c r="F134" t="inlineStr">
        <is>
          <t>VÄSTRA GÖTALANDS LÄN</t>
        </is>
      </c>
      <c r="G134" t="inlineStr">
        <is>
          <t>ULRICEHAMN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46268</v>
      </c>
      <c r="F135" t="inlineStr">
        <is>
          <t>VÄSTRA GÖTALANDS LÄN</t>
        </is>
      </c>
      <c r="G135" t="inlineStr">
        <is>
          <t>ULRICEHAMN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46268</v>
      </c>
      <c r="F136" t="inlineStr">
        <is>
          <t>VÄSTRA GÖTALANDS LÄN</t>
        </is>
      </c>
      <c r="G136" t="inlineStr">
        <is>
          <t>ULRICEHAMN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44959</v>
      </c>
      <c r="E137" s="1" t="n">
        <v>46268</v>
      </c>
      <c r="F137" t="inlineStr">
        <is>
          <t>VÄSTRA GÖTALANDS LÄN</t>
        </is>
      </c>
      <c r="G137" t="inlineStr">
        <is>
          <t>ULRICEHAMN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46268</v>
      </c>
      <c r="F138" t="inlineStr">
        <is>
          <t>VÄSTRA GÖTALANDS LÄN</t>
        </is>
      </c>
      <c r="G138" t="inlineStr">
        <is>
          <t>ULRICEHAMN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46268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44724</v>
      </c>
      <c r="E140" s="1" t="n">
        <v>46268</v>
      </c>
      <c r="F140" t="inlineStr">
        <is>
          <t>VÄSTRA GÖTALANDS LÄN</t>
        </is>
      </c>
      <c r="G140" t="inlineStr">
        <is>
          <t>ULRICEHAMN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46268</v>
      </c>
      <c r="F141" t="inlineStr">
        <is>
          <t>VÄSTRA GÖTALANDS LÄN</t>
        </is>
      </c>
      <c r="G141" t="inlineStr">
        <is>
          <t>ULRICEHAMN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46268</v>
      </c>
      <c r="F142" t="inlineStr">
        <is>
          <t>VÄSTRA GÖTALANDS LÄN</t>
        </is>
      </c>
      <c r="G142" t="inlineStr">
        <is>
          <t>ULRICEHAMN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46268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45344</v>
      </c>
      <c r="E144" s="1" t="n">
        <v>46268</v>
      </c>
      <c r="F144" t="inlineStr">
        <is>
          <t>VÄSTRA GÖTALANDS LÄN</t>
        </is>
      </c>
      <c r="G144" t="inlineStr">
        <is>
          <t>ULRICEHAMN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44894</v>
      </c>
      <c r="E145" s="1" t="n">
        <v>46268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44578</v>
      </c>
      <c r="E146" s="1" t="n">
        <v>46268</v>
      </c>
      <c r="F146" t="inlineStr">
        <is>
          <t>VÄSTRA GÖTALANDS LÄN</t>
        </is>
      </c>
      <c r="G146" t="inlineStr">
        <is>
          <t>ULRICEHAMN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45124</v>
      </c>
      <c r="E147" s="1" t="n">
        <v>46268</v>
      </c>
      <c r="F147" t="inlineStr">
        <is>
          <t>VÄSTRA GÖTALANDS LÄN</t>
        </is>
      </c>
      <c r="G147" t="inlineStr">
        <is>
          <t>ULRICEHAMN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46268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Kommuner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46268</v>
      </c>
      <c r="F149" t="inlineStr">
        <is>
          <t>VÄSTRA GÖTALANDS LÄN</t>
        </is>
      </c>
      <c r="G149" t="inlineStr">
        <is>
          <t>ULRICEHAMN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46268</v>
      </c>
      <c r="F150" t="inlineStr">
        <is>
          <t>VÄSTRA GÖTALANDS LÄN</t>
        </is>
      </c>
      <c r="G150" t="inlineStr">
        <is>
          <t>ULRICEHAMN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46268</v>
      </c>
      <c r="F151" t="inlineStr">
        <is>
          <t>VÄSTRA GÖTALANDS LÄN</t>
        </is>
      </c>
      <c r="G151" t="inlineStr">
        <is>
          <t>ULRICEHAMN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46268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46268</v>
      </c>
      <c r="F153" t="inlineStr">
        <is>
          <t>VÄSTRA GÖTALANDS LÄN</t>
        </is>
      </c>
      <c r="G153" t="inlineStr">
        <is>
          <t>ULRICEHAMN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46268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46268</v>
      </c>
      <c r="F155" t="inlineStr">
        <is>
          <t>VÄSTRA GÖTALANDS LÄN</t>
        </is>
      </c>
      <c r="G155" t="inlineStr">
        <is>
          <t>ULRICEHAMN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45376</v>
      </c>
      <c r="E156" s="1" t="n">
        <v>46268</v>
      </c>
      <c r="F156" t="inlineStr">
        <is>
          <t>VÄSTRA GÖTALANDS LÄN</t>
        </is>
      </c>
      <c r="G156" t="inlineStr">
        <is>
          <t>ULRICEHAMN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46268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46268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46268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46268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45357</v>
      </c>
      <c r="E161" s="1" t="n">
        <v>46268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45606</v>
      </c>
      <c r="E162" s="1" t="n">
        <v>46268</v>
      </c>
      <c r="F162" t="inlineStr">
        <is>
          <t>VÄSTRA GÖTALANDS LÄN</t>
        </is>
      </c>
      <c r="G162" t="inlineStr">
        <is>
          <t>ULRICEHAMN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46268</v>
      </c>
      <c r="F163" t="inlineStr">
        <is>
          <t>VÄSTRA GÖTALANDS LÄN</t>
        </is>
      </c>
      <c r="G163" t="inlineStr">
        <is>
          <t>ULRICEHAMN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46268</v>
      </c>
      <c r="F164" t="inlineStr">
        <is>
          <t>VÄSTRA GÖTALANDS LÄN</t>
        </is>
      </c>
      <c r="G164" t="inlineStr">
        <is>
          <t>ULRICEHAMN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45227</v>
      </c>
      <c r="E165" s="1" t="n">
        <v>46268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46268</v>
      </c>
      <c r="F166" t="inlineStr">
        <is>
          <t>VÄSTRA GÖTALANDS LÄN</t>
        </is>
      </c>
      <c r="G166" t="inlineStr">
        <is>
          <t>ULRICEHAMN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44916</v>
      </c>
      <c r="E167" s="1" t="n">
        <v>46268</v>
      </c>
      <c r="F167" t="inlineStr">
        <is>
          <t>VÄSTRA GÖTALANDS LÄN</t>
        </is>
      </c>
      <c r="G167" t="inlineStr">
        <is>
          <t>ULRICEHAMN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46268</v>
      </c>
      <c r="F168" t="inlineStr">
        <is>
          <t>VÄSTRA GÖTALANDS LÄN</t>
        </is>
      </c>
      <c r="G168" t="inlineStr">
        <is>
          <t>ULRICEHAMN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46268</v>
      </c>
      <c r="F169" t="inlineStr">
        <is>
          <t>VÄSTRA GÖTALANDS LÄN</t>
        </is>
      </c>
      <c r="G169" t="inlineStr">
        <is>
          <t>ULRICEHAMN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38640-2023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45162</v>
      </c>
      <c r="E170" s="1" t="n">
        <v>46268</v>
      </c>
      <c r="F170" t="inlineStr">
        <is>
          <t>VÄSTRA GÖTALANDS LÄN</t>
        </is>
      </c>
      <c r="G170" t="inlineStr">
        <is>
          <t>ULRICEHAMN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45239</v>
      </c>
      <c r="E171" s="1" t="n">
        <v>46268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46268</v>
      </c>
      <c r="F172" t="inlineStr">
        <is>
          <t>VÄSTRA GÖTALANDS LÄN</t>
        </is>
      </c>
      <c r="G172" t="inlineStr">
        <is>
          <t>ULRICEHAMN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46268</v>
      </c>
      <c r="F173" t="inlineStr">
        <is>
          <t>VÄSTRA GÖTALANDS LÄN</t>
        </is>
      </c>
      <c r="G173" t="inlineStr">
        <is>
          <t>ULRICEHAMN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46268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45598</v>
      </c>
      <c r="E175" s="1" t="n">
        <v>46268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46268</v>
      </c>
      <c r="F176" t="inlineStr">
        <is>
          <t>VÄSTRA GÖTALANDS LÄN</t>
        </is>
      </c>
      <c r="G176" t="inlineStr">
        <is>
          <t>ULRICEHAMN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46268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46268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45334</v>
      </c>
      <c r="E179" s="1" t="n">
        <v>46268</v>
      </c>
      <c r="F179" t="inlineStr">
        <is>
          <t>VÄSTRA GÖTALANDS LÄN</t>
        </is>
      </c>
      <c r="G179" t="inlineStr">
        <is>
          <t>ULRICEHAMN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46268</v>
      </c>
      <c r="F180" t="inlineStr">
        <is>
          <t>VÄSTRA GÖTALANDS LÄN</t>
        </is>
      </c>
      <c r="G180" t="inlineStr">
        <is>
          <t>ULRICEHAMN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56830-2022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44894</v>
      </c>
      <c r="E181" s="1" t="n">
        <v>46268</v>
      </c>
      <c r="F181" t="inlineStr">
        <is>
          <t>VÄSTRA GÖTALANDS LÄN</t>
        </is>
      </c>
      <c r="G181" t="inlineStr">
        <is>
          <t>ULRICEHAMN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46268</v>
      </c>
      <c r="F182" t="inlineStr">
        <is>
          <t>VÄSTRA GÖTALANDS LÄN</t>
        </is>
      </c>
      <c r="G182" t="inlineStr">
        <is>
          <t>ULRICEHAMN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46268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44566</v>
      </c>
      <c r="E184" s="1" t="n">
        <v>46268</v>
      </c>
      <c r="F184" t="inlineStr">
        <is>
          <t>VÄSTRA GÖTALANDS LÄN</t>
        </is>
      </c>
      <c r="G184" t="inlineStr">
        <is>
          <t>ULRICEHAMN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44929</v>
      </c>
      <c r="E185" s="1" t="n">
        <v>46268</v>
      </c>
      <c r="F185" t="inlineStr">
        <is>
          <t>VÄSTRA GÖTALANDS LÄN</t>
        </is>
      </c>
      <c r="G185" t="inlineStr">
        <is>
          <t>ULRICEHAMN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44824</v>
      </c>
      <c r="E186" s="1" t="n">
        <v>46268</v>
      </c>
      <c r="F186" t="inlineStr">
        <is>
          <t>VÄSTRA GÖTALANDS LÄN</t>
        </is>
      </c>
      <c r="G186" t="inlineStr">
        <is>
          <t>ULRICEHAMN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46268</v>
      </c>
      <c r="F187" t="inlineStr">
        <is>
          <t>VÄSTRA GÖTALANDS LÄN</t>
        </is>
      </c>
      <c r="G187" t="inlineStr">
        <is>
          <t>ULRICEHAMN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46268</v>
      </c>
      <c r="F188" t="inlineStr">
        <is>
          <t>VÄSTRA GÖTALANDS LÄN</t>
        </is>
      </c>
      <c r="G188" t="inlineStr">
        <is>
          <t>ULRICEHAMN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46268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46268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46268</v>
      </c>
      <c r="F191" t="inlineStr">
        <is>
          <t>VÄSTRA GÖTALANDS LÄN</t>
        </is>
      </c>
      <c r="G191" t="inlineStr">
        <is>
          <t>ULRICEHAMN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45806</v>
      </c>
      <c r="E192" s="1" t="n">
        <v>46268</v>
      </c>
      <c r="F192" t="inlineStr">
        <is>
          <t>VÄSTRA GÖTALANDS LÄN</t>
        </is>
      </c>
      <c r="G192" t="inlineStr">
        <is>
          <t>ULRICEHAMN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45806</v>
      </c>
      <c r="E193" s="1" t="n">
        <v>46268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46268</v>
      </c>
      <c r="F194" t="inlineStr">
        <is>
          <t>VÄSTRA GÖTALANDS LÄN</t>
        </is>
      </c>
      <c r="G194" t="inlineStr">
        <is>
          <t>ULRICEHAMN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45806</v>
      </c>
      <c r="E195" s="1" t="n">
        <v>46268</v>
      </c>
      <c r="F195" t="inlineStr">
        <is>
          <t>VÄSTRA GÖTALANDS LÄN</t>
        </is>
      </c>
      <c r="G195" t="inlineStr">
        <is>
          <t>ULRICEHAMN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45806</v>
      </c>
      <c r="E196" s="1" t="n">
        <v>46268</v>
      </c>
      <c r="F196" t="inlineStr">
        <is>
          <t>VÄSTRA GÖTALANDS LÄN</t>
        </is>
      </c>
      <c r="G196" t="inlineStr">
        <is>
          <t>ULRICEHAMN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46030</v>
      </c>
      <c r="E197" s="1" t="n">
        <v>46268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45806</v>
      </c>
      <c r="E198" s="1" t="n">
        <v>46268</v>
      </c>
      <c r="F198" t="inlineStr">
        <is>
          <t>VÄSTRA GÖTALANDS LÄN</t>
        </is>
      </c>
      <c r="G198" t="inlineStr">
        <is>
          <t>ULRICEHAMN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45806</v>
      </c>
      <c r="E199" s="1" t="n">
        <v>46268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65872-2021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46268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45132</v>
      </c>
      <c r="E201" s="1" t="n">
        <v>46268</v>
      </c>
      <c r="F201" t="inlineStr">
        <is>
          <t>VÄSTRA GÖTALANDS LÄN</t>
        </is>
      </c>
      <c r="G201" t="inlineStr">
        <is>
          <t>ULRICEHAMN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45473</v>
      </c>
      <c r="E202" s="1" t="n">
        <v>46268</v>
      </c>
      <c r="F202" t="inlineStr">
        <is>
          <t>VÄSTRA GÖTALANDS LÄN</t>
        </is>
      </c>
      <c r="G202" t="inlineStr">
        <is>
          <t>ULRICEHAMN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37791-2023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45159</v>
      </c>
      <c r="E203" s="1" t="n">
        <v>46268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44971</v>
      </c>
      <c r="E204" s="1" t="n">
        <v>46268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45196</v>
      </c>
      <c r="E205" s="1" t="n">
        <v>46268</v>
      </c>
      <c r="F205" t="inlineStr">
        <is>
          <t>VÄSTRA GÖTALANDS LÄN</t>
        </is>
      </c>
      <c r="G205" t="inlineStr">
        <is>
          <t>ULRICEHAMN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46268</v>
      </c>
      <c r="F206" t="inlineStr">
        <is>
          <t>VÄSTRA GÖTALANDS LÄN</t>
        </is>
      </c>
      <c r="G206" t="inlineStr">
        <is>
          <t>ULRICEHAMN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45467</v>
      </c>
      <c r="E207" s="1" t="n">
        <v>46268</v>
      </c>
      <c r="F207" t="inlineStr">
        <is>
          <t>VÄSTRA GÖTALANDS LÄN</t>
        </is>
      </c>
      <c r="G207" t="inlineStr">
        <is>
          <t>ULRICEHAMN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46268</v>
      </c>
      <c r="F208" t="inlineStr">
        <is>
          <t>VÄSTRA GÖTALANDS LÄN</t>
        </is>
      </c>
      <c r="G208" t="inlineStr">
        <is>
          <t>ULRICEHAMN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46268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45683</v>
      </c>
      <c r="E210" s="1" t="n">
        <v>46268</v>
      </c>
      <c r="F210" t="inlineStr">
        <is>
          <t>VÄSTRA GÖTALANDS LÄN</t>
        </is>
      </c>
      <c r="G210" t="inlineStr">
        <is>
          <t>ULRICEHAMN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46268</v>
      </c>
      <c r="F211" t="inlineStr">
        <is>
          <t>VÄSTRA GÖTALANDS LÄN</t>
        </is>
      </c>
      <c r="G211" t="inlineStr">
        <is>
          <t>ULRICEHAMN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46268</v>
      </c>
      <c r="F212" t="inlineStr">
        <is>
          <t>VÄSTRA GÖTALANDS LÄN</t>
        </is>
      </c>
      <c r="G212" t="inlineStr">
        <is>
          <t>ULRICEHAMN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46268</v>
      </c>
      <c r="F213" t="inlineStr">
        <is>
          <t>VÄSTRA GÖTALANDS LÄN</t>
        </is>
      </c>
      <c r="G213" t="inlineStr">
        <is>
          <t>ULRICEHAMN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46268</v>
      </c>
      <c r="F214" t="inlineStr">
        <is>
          <t>VÄSTRA GÖTALANDS LÄN</t>
        </is>
      </c>
      <c r="G214" t="inlineStr">
        <is>
          <t>ULRICEHAMN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45795</v>
      </c>
      <c r="E215" s="1" t="n">
        <v>46268</v>
      </c>
      <c r="F215" t="inlineStr">
        <is>
          <t>VÄSTRA GÖTALANDS LÄN</t>
        </is>
      </c>
      <c r="G215" t="inlineStr">
        <is>
          <t>ULRICEHAMN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46268</v>
      </c>
      <c r="F216" t="inlineStr">
        <is>
          <t>VÄSTRA GÖTALANDS LÄN</t>
        </is>
      </c>
      <c r="G216" t="inlineStr">
        <is>
          <t>ULRICEHAMN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46268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64739-2023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46268</v>
      </c>
      <c r="F218" t="inlineStr">
        <is>
          <t>VÄSTRA GÖTALANDS LÄN</t>
        </is>
      </c>
      <c r="G218" t="inlineStr">
        <is>
          <t>ULRICEHAMN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46268</v>
      </c>
      <c r="F219" t="inlineStr">
        <is>
          <t>VÄSTRA GÖTALANDS LÄN</t>
        </is>
      </c>
      <c r="G219" t="inlineStr">
        <is>
          <t>ULRICEHAMN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46268</v>
      </c>
      <c r="F220" t="inlineStr">
        <is>
          <t>VÄSTRA GÖTALANDS LÄN</t>
        </is>
      </c>
      <c r="G220" t="inlineStr">
        <is>
          <t>ULRICEHAMN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46268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Kommuner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45643</v>
      </c>
      <c r="E222" s="1" t="n">
        <v>46268</v>
      </c>
      <c r="F222" t="inlineStr">
        <is>
          <t>VÄSTRA GÖTALANDS LÄN</t>
        </is>
      </c>
      <c r="G222" t="inlineStr">
        <is>
          <t>ULRICEHAMN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46268</v>
      </c>
      <c r="F223" t="inlineStr">
        <is>
          <t>VÄSTRA GÖTALANDS LÄN</t>
        </is>
      </c>
      <c r="G223" t="inlineStr">
        <is>
          <t>ULRICEHAMN</t>
        </is>
      </c>
      <c r="I223" t="n">
        <v>14.8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46268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46268</v>
      </c>
      <c r="F225" t="inlineStr">
        <is>
          <t>VÄSTRA GÖTALANDS LÄN</t>
        </is>
      </c>
      <c r="G225" t="inlineStr">
        <is>
          <t>ULRICEHAMN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46268</v>
      </c>
      <c r="F226" t="inlineStr">
        <is>
          <t>VÄSTRA GÖTALANDS LÄN</t>
        </is>
      </c>
      <c r="G226" t="inlineStr">
        <is>
          <t>ULRICEHAMN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46268</v>
      </c>
      <c r="F227" t="inlineStr">
        <is>
          <t>VÄSTRA GÖTALANDS LÄN</t>
        </is>
      </c>
      <c r="G227" t="inlineStr">
        <is>
          <t>ULRICEHAMN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46268</v>
      </c>
      <c r="F228" t="inlineStr">
        <is>
          <t>VÄSTRA GÖTALANDS LÄN</t>
        </is>
      </c>
      <c r="G228" t="inlineStr">
        <is>
          <t>ULRICEHAMN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46268</v>
      </c>
      <c r="F229" t="inlineStr">
        <is>
          <t>VÄSTRA GÖTALANDS LÄN</t>
        </is>
      </c>
      <c r="G229" t="inlineStr">
        <is>
          <t>ULRICEHAMN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46268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45730</v>
      </c>
      <c r="E231" s="1" t="n">
        <v>46268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46268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45636</v>
      </c>
      <c r="E233" s="1" t="n">
        <v>46268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46268</v>
      </c>
      <c r="F234" t="inlineStr">
        <is>
          <t>VÄSTRA GÖTALANDS LÄN</t>
        </is>
      </c>
      <c r="G234" t="inlineStr">
        <is>
          <t>ULRICEHAMN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46268</v>
      </c>
      <c r="F235" t="inlineStr">
        <is>
          <t>VÄSTRA GÖTALANDS LÄN</t>
        </is>
      </c>
      <c r="G235" t="inlineStr">
        <is>
          <t>ULRICEHAMN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46268</v>
      </c>
      <c r="F236" t="inlineStr">
        <is>
          <t>VÄSTRA GÖTALANDS LÄN</t>
        </is>
      </c>
      <c r="G236" t="inlineStr">
        <is>
          <t>ULRICEHAMN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46268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46268</v>
      </c>
      <c r="F238" t="inlineStr">
        <is>
          <t>VÄSTRA GÖTALANDS LÄN</t>
        </is>
      </c>
      <c r="G238" t="inlineStr">
        <is>
          <t>ULRICEHAMN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45157</v>
      </c>
      <c r="E239" s="1" t="n">
        <v>46268</v>
      </c>
      <c r="F239" t="inlineStr">
        <is>
          <t>VÄSTRA GÖTALANDS LÄN</t>
        </is>
      </c>
      <c r="G239" t="inlineStr">
        <is>
          <t>ULRICEHAMN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45043</v>
      </c>
      <c r="E240" s="1" t="n">
        <v>46268</v>
      </c>
      <c r="F240" t="inlineStr">
        <is>
          <t>VÄSTRA GÖTALANDS LÄN</t>
        </is>
      </c>
      <c r="G240" t="inlineStr">
        <is>
          <t>ULRICEHAMN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46268</v>
      </c>
      <c r="F241" t="inlineStr">
        <is>
          <t>VÄSTRA GÖTALANDS LÄN</t>
        </is>
      </c>
      <c r="G241" t="inlineStr">
        <is>
          <t>ULRICEHAMN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32211-2025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46268</v>
      </c>
      <c r="F242" t="inlineStr">
        <is>
          <t>VÄSTRA GÖTALANDS LÄN</t>
        </is>
      </c>
      <c r="G242" t="inlineStr">
        <is>
          <t>ULRICEHAMN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46268</v>
      </c>
      <c r="F243" t="inlineStr">
        <is>
          <t>VÄSTRA GÖTALANDS LÄN</t>
        </is>
      </c>
      <c r="G243" t="inlineStr">
        <is>
          <t>ULRICEHAMN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46268</v>
      </c>
      <c r="F244" t="inlineStr">
        <is>
          <t>VÄSTRA GÖTALANDS LÄN</t>
        </is>
      </c>
      <c r="G244" t="inlineStr">
        <is>
          <t>ULRICEHAMN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46268</v>
      </c>
      <c r="F245" t="inlineStr">
        <is>
          <t>VÄSTRA GÖTALANDS LÄN</t>
        </is>
      </c>
      <c r="G245" t="inlineStr">
        <is>
          <t>ULRICEHAMN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32214-2025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46268</v>
      </c>
      <c r="F246" t="inlineStr">
        <is>
          <t>VÄSTRA GÖTALANDS LÄN</t>
        </is>
      </c>
      <c r="G246" t="inlineStr">
        <is>
          <t>ULRICEHAMN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46268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46268</v>
      </c>
      <c r="F248" t="inlineStr">
        <is>
          <t>VÄSTRA GÖTALANDS LÄN</t>
        </is>
      </c>
      <c r="G248" t="inlineStr">
        <is>
          <t>ULRICEHAMN</t>
        </is>
      </c>
      <c r="H248" t="inlineStr">
        <is>
          <t>Sveaskog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46268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44947</v>
      </c>
      <c r="E250" s="1" t="n">
        <v>46268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46268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46268</v>
      </c>
      <c r="F252" t="inlineStr">
        <is>
          <t>VÄSTRA GÖTALANDS LÄN</t>
        </is>
      </c>
      <c r="G252" t="inlineStr">
        <is>
          <t>ULRICEHAMN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46268</v>
      </c>
      <c r="F253" t="inlineStr">
        <is>
          <t>VÄSTRA GÖTALANDS LÄN</t>
        </is>
      </c>
      <c r="G253" t="inlineStr">
        <is>
          <t>ULRICEHAMN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46268</v>
      </c>
      <c r="F254" t="inlineStr">
        <is>
          <t>VÄSTRA GÖTALANDS LÄN</t>
        </is>
      </c>
      <c r="G254" t="inlineStr">
        <is>
          <t>ULRICEHAMN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46268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46268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46268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46268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45606</v>
      </c>
      <c r="E259" s="1" t="n">
        <v>46268</v>
      </c>
      <c r="F259" t="inlineStr">
        <is>
          <t>VÄSTRA GÖTALANDS LÄN</t>
        </is>
      </c>
      <c r="G259" t="inlineStr">
        <is>
          <t>ULRICEHAMN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46268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46268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46268</v>
      </c>
      <c r="F262" t="inlineStr">
        <is>
          <t>VÄSTRA GÖTALANDS LÄN</t>
        </is>
      </c>
      <c r="G262" t="inlineStr">
        <is>
          <t>ULRICEHAMN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46268</v>
      </c>
      <c r="F263" t="inlineStr">
        <is>
          <t>VÄSTRA GÖTALANDS LÄN</t>
        </is>
      </c>
      <c r="G263" t="inlineStr">
        <is>
          <t>ULRICEHAMN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46268</v>
      </c>
      <c r="F264" t="inlineStr">
        <is>
          <t>VÄSTRA GÖTALANDS LÄN</t>
        </is>
      </c>
      <c r="G264" t="inlineStr">
        <is>
          <t>ULRICEHAMN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46268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33631-2025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45841</v>
      </c>
      <c r="E266" s="1" t="n">
        <v>46268</v>
      </c>
      <c r="F266" t="inlineStr">
        <is>
          <t>VÄSTRA GÖTALANDS LÄN</t>
        </is>
      </c>
      <c r="G266" t="inlineStr">
        <is>
          <t>ULRICEHAMN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46268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45227</v>
      </c>
      <c r="E268" s="1" t="n">
        <v>46268</v>
      </c>
      <c r="F268" t="inlineStr">
        <is>
          <t>VÄSTRA GÖTALANDS LÄN</t>
        </is>
      </c>
      <c r="G268" t="inlineStr">
        <is>
          <t>ULRICEHAMN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46268</v>
      </c>
      <c r="F269" t="inlineStr">
        <is>
          <t>VÄSTRA GÖTALANDS LÄN</t>
        </is>
      </c>
      <c r="G269" t="inlineStr">
        <is>
          <t>ULRICEHAMN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46268</v>
      </c>
      <c r="F270" t="inlineStr">
        <is>
          <t>VÄSTRA GÖTALANDS LÄN</t>
        </is>
      </c>
      <c r="G270" t="inlineStr">
        <is>
          <t>ULRICEHAMN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46268</v>
      </c>
      <c r="F271" t="inlineStr">
        <is>
          <t>VÄSTRA GÖTALANDS LÄN</t>
        </is>
      </c>
      <c r="G271" t="inlineStr">
        <is>
          <t>ULRICEHAMN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46268</v>
      </c>
      <c r="F272" t="inlineStr">
        <is>
          <t>VÄSTRA GÖTALANDS LÄN</t>
        </is>
      </c>
      <c r="G272" t="inlineStr">
        <is>
          <t>ULRICEHAMN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52132-2024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45608</v>
      </c>
      <c r="E273" s="1" t="n">
        <v>46268</v>
      </c>
      <c r="F273" t="inlineStr">
        <is>
          <t>VÄSTRA GÖTALANDS LÄN</t>
        </is>
      </c>
      <c r="G273" t="inlineStr">
        <is>
          <t>ULRICEHAMN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46268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15736-2022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44663</v>
      </c>
      <c r="E275" s="1" t="n">
        <v>46268</v>
      </c>
      <c r="F275" t="inlineStr">
        <is>
          <t>VÄSTRA GÖTALANDS LÄN</t>
        </is>
      </c>
      <c r="G275" t="inlineStr">
        <is>
          <t>ULRICEHAMN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46268</v>
      </c>
      <c r="F276" t="inlineStr">
        <is>
          <t>VÄSTRA GÖTALANDS LÄN</t>
        </is>
      </c>
      <c r="G276" t="inlineStr">
        <is>
          <t>ULRICEHAMN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45231</v>
      </c>
      <c r="E277" s="1" t="n">
        <v>46268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Kommuner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46268</v>
      </c>
      <c r="F278" t="inlineStr">
        <is>
          <t>VÄSTRA GÖTALANDS LÄN</t>
        </is>
      </c>
      <c r="G278" t="inlineStr">
        <is>
          <t>ULRICEHAMN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44800</v>
      </c>
      <c r="E279" s="1" t="n">
        <v>46268</v>
      </c>
      <c r="F279" t="inlineStr">
        <is>
          <t>VÄSTRA GÖTALANDS LÄN</t>
        </is>
      </c>
      <c r="G279" t="inlineStr">
        <is>
          <t>ULRICEHAMN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46268</v>
      </c>
      <c r="F280" t="inlineStr">
        <is>
          <t>VÄSTRA GÖTALANDS LÄN</t>
        </is>
      </c>
      <c r="G280" t="inlineStr">
        <is>
          <t>ULRICEHAMN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62620-2021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44503</v>
      </c>
      <c r="E281" s="1" t="n">
        <v>46268</v>
      </c>
      <c r="F281" t="inlineStr">
        <is>
          <t>VÄSTRA GÖTALANDS LÄN</t>
        </is>
      </c>
      <c r="G281" t="inlineStr">
        <is>
          <t>ULRICEHAMN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45663</v>
      </c>
      <c r="E282" s="1" t="n">
        <v>46268</v>
      </c>
      <c r="F282" t="inlineStr">
        <is>
          <t>VÄSTRA GÖTALANDS LÄN</t>
        </is>
      </c>
      <c r="G282" t="inlineStr">
        <is>
          <t>ULRICEHAMN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45691</v>
      </c>
      <c r="E283" s="1" t="n">
        <v>46268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46268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45638-2025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46268</v>
      </c>
      <c r="F285" t="inlineStr">
        <is>
          <t>VÄSTRA GÖTALANDS LÄN</t>
        </is>
      </c>
      <c r="G285" t="inlineStr">
        <is>
          <t>ULRICEHAMN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46268</v>
      </c>
      <c r="F286" t="inlineStr">
        <is>
          <t>VÄSTRA GÖTALANDS LÄN</t>
        </is>
      </c>
      <c r="G286" t="inlineStr">
        <is>
          <t>ULRICEHAMN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45856</v>
      </c>
      <c r="E287" s="1" t="n">
        <v>46268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45751-2025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46268</v>
      </c>
      <c r="F288" t="inlineStr">
        <is>
          <t>VÄSTRA GÖTALANDS LÄN</t>
        </is>
      </c>
      <c r="G288" t="inlineStr">
        <is>
          <t>ULRICEHAMN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44663</v>
      </c>
      <c r="E289" s="1" t="n">
        <v>46268</v>
      </c>
      <c r="F289" t="inlineStr">
        <is>
          <t>VÄSTRA GÖTALANDS LÄN</t>
        </is>
      </c>
      <c r="G289" t="inlineStr">
        <is>
          <t>ULRICEHAMN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45862</v>
      </c>
      <c r="E290" s="1" t="n">
        <v>46268</v>
      </c>
      <c r="F290" t="inlineStr">
        <is>
          <t>VÄSTRA GÖTALANDS LÄN</t>
        </is>
      </c>
      <c r="G290" t="inlineStr">
        <is>
          <t>ULRICEHAMN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46268</v>
      </c>
      <c r="F291" t="inlineStr">
        <is>
          <t>VÄSTRA GÖTALANDS LÄN</t>
        </is>
      </c>
      <c r="G291" t="inlineStr">
        <is>
          <t>ULRICEHAMN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44606</v>
      </c>
      <c r="E292" s="1" t="n">
        <v>46268</v>
      </c>
      <c r="F292" t="inlineStr">
        <is>
          <t>VÄSTRA GÖTALANDS LÄN</t>
        </is>
      </c>
      <c r="G292" t="inlineStr">
        <is>
          <t>ULRICEHAMN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46268</v>
      </c>
      <c r="F293" t="inlineStr">
        <is>
          <t>VÄSTRA GÖTALANDS LÄN</t>
        </is>
      </c>
      <c r="G293" t="inlineStr">
        <is>
          <t>ULRICEHAMN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46268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45866</v>
      </c>
      <c r="E295" s="1" t="n">
        <v>46268</v>
      </c>
      <c r="F295" t="inlineStr">
        <is>
          <t>VÄSTRA GÖTALANDS LÄN</t>
        </is>
      </c>
      <c r="G295" t="inlineStr">
        <is>
          <t>ULRICEHAMN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46268</v>
      </c>
      <c r="F296" t="inlineStr">
        <is>
          <t>VÄSTRA GÖTALANDS LÄN</t>
        </is>
      </c>
      <c r="G296" t="inlineStr">
        <is>
          <t>ULRICEHAMN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46268</v>
      </c>
      <c r="F297" t="inlineStr">
        <is>
          <t>VÄSTRA GÖTALANDS LÄN</t>
        </is>
      </c>
      <c r="G297" t="inlineStr">
        <is>
          <t>ULRICEHAMN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45866</v>
      </c>
      <c r="E298" s="1" t="n">
        <v>46268</v>
      </c>
      <c r="F298" t="inlineStr">
        <is>
          <t>VÄSTRA GÖTALANDS LÄN</t>
        </is>
      </c>
      <c r="G298" t="inlineStr">
        <is>
          <t>ULRICEHAMN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74199-2021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44558</v>
      </c>
      <c r="E299" s="1" t="n">
        <v>46268</v>
      </c>
      <c r="F299" t="inlineStr">
        <is>
          <t>VÄSTRA GÖTALANDS LÄN</t>
        </is>
      </c>
      <c r="G299" t="inlineStr">
        <is>
          <t>ULRICEHAMN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45868</v>
      </c>
      <c r="E300" s="1" t="n">
        <v>46268</v>
      </c>
      <c r="F300" t="inlineStr">
        <is>
          <t>VÄSTRA GÖTALANDS LÄN</t>
        </is>
      </c>
      <c r="G300" t="inlineStr">
        <is>
          <t>ULRICEHAMN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45002</v>
      </c>
      <c r="E301" s="1" t="n">
        <v>46268</v>
      </c>
      <c r="F301" t="inlineStr">
        <is>
          <t>VÄSTRA GÖTALANDS LÄN</t>
        </is>
      </c>
      <c r="G301" t="inlineStr">
        <is>
          <t>ULRICEHAMN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46268</v>
      </c>
      <c r="F302" t="inlineStr">
        <is>
          <t>VÄSTRA GÖTALANDS LÄN</t>
        </is>
      </c>
      <c r="G302" t="inlineStr">
        <is>
          <t>ULRICEHAMN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64794-2023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45282</v>
      </c>
      <c r="E303" s="1" t="n">
        <v>46268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46268</v>
      </c>
      <c r="F304" t="inlineStr">
        <is>
          <t>VÄSTRA GÖTALANDS LÄN</t>
        </is>
      </c>
      <c r="G304" t="inlineStr">
        <is>
          <t>ULRICEHAMN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46268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46268</v>
      </c>
      <c r="F306" t="inlineStr">
        <is>
          <t>VÄSTRA GÖTALANDS LÄN</t>
        </is>
      </c>
      <c r="G306" t="inlineStr">
        <is>
          <t>ULRICEHAMN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46268</v>
      </c>
      <c r="F307" t="inlineStr">
        <is>
          <t>VÄSTRA GÖTALANDS LÄN</t>
        </is>
      </c>
      <c r="G307" t="inlineStr">
        <is>
          <t>ULRICEHAMN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46268</v>
      </c>
      <c r="F308" t="inlineStr">
        <is>
          <t>VÄSTRA GÖTALANDS LÄN</t>
        </is>
      </c>
      <c r="G308" t="inlineStr">
        <is>
          <t>ULRICEHAMN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45934</v>
      </c>
      <c r="E309" s="1" t="n">
        <v>46268</v>
      </c>
      <c r="F309" t="inlineStr">
        <is>
          <t>VÄSTRA GÖTALANDS LÄN</t>
        </is>
      </c>
      <c r="G309" t="inlineStr">
        <is>
          <t>ULRICEHAMN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45934</v>
      </c>
      <c r="E310" s="1" t="n">
        <v>46268</v>
      </c>
      <c r="F310" t="inlineStr">
        <is>
          <t>VÄSTRA GÖTALANDS LÄN</t>
        </is>
      </c>
      <c r="G310" t="inlineStr">
        <is>
          <t>ULRICEHAMN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45934</v>
      </c>
      <c r="E311" s="1" t="n">
        <v>46268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45934</v>
      </c>
      <c r="E312" s="1" t="n">
        <v>46268</v>
      </c>
      <c r="F312" t="inlineStr">
        <is>
          <t>VÄSTRA GÖTALANDS LÄN</t>
        </is>
      </c>
      <c r="G312" t="inlineStr">
        <is>
          <t>ULRICEHAMN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46268</v>
      </c>
      <c r="F313" t="inlineStr">
        <is>
          <t>VÄSTRA GÖTALANDS LÄN</t>
        </is>
      </c>
      <c r="G313" t="inlineStr">
        <is>
          <t>ULRICEHAMN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64736-2023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46268</v>
      </c>
      <c r="F314" t="inlineStr">
        <is>
          <t>VÄSTRA GÖTALANDS LÄN</t>
        </is>
      </c>
      <c r="G314" t="inlineStr">
        <is>
          <t>ULRICEHAMN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45281</v>
      </c>
      <c r="E315" s="1" t="n">
        <v>46268</v>
      </c>
      <c r="F315" t="inlineStr">
        <is>
          <t>VÄSTRA GÖTALANDS LÄN</t>
        </is>
      </c>
      <c r="G315" t="inlineStr">
        <is>
          <t>ULRICEHAMN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46268</v>
      </c>
      <c r="F316" t="inlineStr">
        <is>
          <t>VÄSTRA GÖTALANDS LÄN</t>
        </is>
      </c>
      <c r="G316" t="inlineStr">
        <is>
          <t>ULRICEHAMN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46268</v>
      </c>
      <c r="F317" t="inlineStr">
        <is>
          <t>VÄSTRA GÖTALANDS LÄN</t>
        </is>
      </c>
      <c r="G317" t="inlineStr">
        <is>
          <t>ULRICEHAMN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46268</v>
      </c>
      <c r="F318" t="inlineStr">
        <is>
          <t>VÄSTRA GÖTALANDS LÄN</t>
        </is>
      </c>
      <c r="G318" t="inlineStr">
        <is>
          <t>ULRICEHAMN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46268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46268</v>
      </c>
      <c r="F320" t="inlineStr">
        <is>
          <t>VÄSTRA GÖTALANDS LÄN</t>
        </is>
      </c>
      <c r="G320" t="inlineStr">
        <is>
          <t>ULRICEHAMN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46268</v>
      </c>
      <c r="F321" t="inlineStr">
        <is>
          <t>VÄSTRA GÖTALANDS LÄN</t>
        </is>
      </c>
      <c r="G321" t="inlineStr">
        <is>
          <t>ULRICEHAMN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37560-2025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45880</v>
      </c>
      <c r="E322" s="1" t="n">
        <v>46268</v>
      </c>
      <c r="F322" t="inlineStr">
        <is>
          <t>VÄSTRA GÖTALANDS LÄN</t>
        </is>
      </c>
      <c r="G322" t="inlineStr">
        <is>
          <t>ULRICEHAMN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46268</v>
      </c>
      <c r="F323" t="inlineStr">
        <is>
          <t>VÄSTRA GÖTALANDS LÄN</t>
        </is>
      </c>
      <c r="G323" t="inlineStr">
        <is>
          <t>ULRICEHAMN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46268</v>
      </c>
      <c r="F324" t="inlineStr">
        <is>
          <t>VÄSTRA GÖTALANDS LÄN</t>
        </is>
      </c>
      <c r="G324" t="inlineStr">
        <is>
          <t>ULRICEHAMN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46268</v>
      </c>
      <c r="F325" t="inlineStr">
        <is>
          <t>VÄSTRA GÖTALANDS LÄN</t>
        </is>
      </c>
      <c r="G325" t="inlineStr">
        <is>
          <t>ULRICEHAMN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46268</v>
      </c>
      <c r="F326" t="inlineStr">
        <is>
          <t>VÄSTRA GÖTALANDS LÄN</t>
        </is>
      </c>
      <c r="G326" t="inlineStr">
        <is>
          <t>ULRICEHAMN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45239</v>
      </c>
      <c r="E327" s="1" t="n">
        <v>46268</v>
      </c>
      <c r="F327" t="inlineStr">
        <is>
          <t>VÄSTRA GÖTALANDS LÄN</t>
        </is>
      </c>
      <c r="G327" t="inlineStr">
        <is>
          <t>ULRICEHAMN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46268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7094-2024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45343</v>
      </c>
      <c r="E329" s="1" t="n">
        <v>46268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45139-2023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46268</v>
      </c>
      <c r="F330" t="inlineStr">
        <is>
          <t>VÄSTRA GÖTALANDS LÄN</t>
        </is>
      </c>
      <c r="G330" t="inlineStr">
        <is>
          <t>ULRICEHAMN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46268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45341</v>
      </c>
      <c r="E332" s="1" t="n">
        <v>46268</v>
      </c>
      <c r="F332" t="inlineStr">
        <is>
          <t>VÄSTRA GÖTALANDS LÄN</t>
        </is>
      </c>
      <c r="G332" t="inlineStr">
        <is>
          <t>ULRICEHAMN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46268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46268</v>
      </c>
      <c r="F334" t="inlineStr">
        <is>
          <t>VÄSTRA GÖTALANDS LÄN</t>
        </is>
      </c>
      <c r="G334" t="inlineStr">
        <is>
          <t>ULRICEHAMN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46268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46268</v>
      </c>
      <c r="F336" t="inlineStr">
        <is>
          <t>VÄSTRA GÖTALANDS LÄN</t>
        </is>
      </c>
      <c r="G336" t="inlineStr">
        <is>
          <t>ULRICEHAMN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46268</v>
      </c>
      <c r="F337" t="inlineStr">
        <is>
          <t>VÄSTRA GÖTALANDS LÄN</t>
        </is>
      </c>
      <c r="G337" t="inlineStr">
        <is>
          <t>ULRICEHAMN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46268</v>
      </c>
      <c r="F338" t="inlineStr">
        <is>
          <t>VÄSTRA GÖTALANDS LÄN</t>
        </is>
      </c>
      <c r="G338" t="inlineStr">
        <is>
          <t>ULRICEHAMN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45112</v>
      </c>
      <c r="E339" s="1" t="n">
        <v>46268</v>
      </c>
      <c r="F339" t="inlineStr">
        <is>
          <t>VÄSTRA GÖTALANDS LÄN</t>
        </is>
      </c>
      <c r="G339" t="inlineStr">
        <is>
          <t>ULRICEHAMN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45951</v>
      </c>
      <c r="E340" s="1" t="n">
        <v>46268</v>
      </c>
      <c r="F340" t="inlineStr">
        <is>
          <t>VÄSTRA GÖTALANDS LÄN</t>
        </is>
      </c>
      <c r="G340" t="inlineStr">
        <is>
          <t>ULRICEHAMN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46268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45951</v>
      </c>
      <c r="E342" s="1" t="n">
        <v>46268</v>
      </c>
      <c r="F342" t="inlineStr">
        <is>
          <t>VÄSTRA GÖTALANDS LÄN</t>
        </is>
      </c>
      <c r="G342" t="inlineStr">
        <is>
          <t>ULRICEHAMN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46057</v>
      </c>
      <c r="E343" s="1" t="n">
        <v>46268</v>
      </c>
      <c r="F343" t="inlineStr">
        <is>
          <t>VÄSTRA GÖTALANDS LÄN</t>
        </is>
      </c>
      <c r="G343" t="inlineStr">
        <is>
          <t>ULRICEHAMN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46268</v>
      </c>
      <c r="F344" t="inlineStr">
        <is>
          <t>VÄSTRA GÖTALANDS LÄN</t>
        </is>
      </c>
      <c r="G344" t="inlineStr">
        <is>
          <t>ULRICEHAMN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46268</v>
      </c>
      <c r="F345" t="inlineStr">
        <is>
          <t>VÄSTRA GÖTALANDS LÄN</t>
        </is>
      </c>
      <c r="G345" t="inlineStr">
        <is>
          <t>ULRICEHAMN</t>
        </is>
      </c>
      <c r="H345" t="inlineStr">
        <is>
          <t>Sveaskog</t>
        </is>
      </c>
      <c r="I345" t="n">
        <v>20.3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46268</v>
      </c>
      <c r="F346" t="inlineStr">
        <is>
          <t>VÄSTRA GÖTALANDS LÄN</t>
        </is>
      </c>
      <c r="G346" t="inlineStr">
        <is>
          <t>ULRICEHAMN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45427</v>
      </c>
      <c r="E347" s="1" t="n">
        <v>46268</v>
      </c>
      <c r="F347" t="inlineStr">
        <is>
          <t>VÄSTRA GÖTALANDS LÄN</t>
        </is>
      </c>
      <c r="G347" t="inlineStr">
        <is>
          <t>ULRICEHAMN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46268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46268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Kyrkan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46268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46268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46268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12551-2022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44638</v>
      </c>
      <c r="E353" s="1" t="n">
        <v>46268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44638</v>
      </c>
      <c r="E354" s="1" t="n">
        <v>46268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Kommuner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46268</v>
      </c>
      <c r="F355" t="inlineStr">
        <is>
          <t>VÄSTRA GÖTALANDS LÄN</t>
        </is>
      </c>
      <c r="G355" t="inlineStr">
        <is>
          <t>ULRICEHAMN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46268</v>
      </c>
      <c r="F356" t="inlineStr">
        <is>
          <t>VÄSTRA GÖTALANDS LÄN</t>
        </is>
      </c>
      <c r="G356" t="inlineStr">
        <is>
          <t>ULRICEHAMN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46268</v>
      </c>
      <c r="F357" t="inlineStr">
        <is>
          <t>VÄSTRA GÖTALANDS LÄN</t>
        </is>
      </c>
      <c r="G357" t="inlineStr">
        <is>
          <t>ULRICEHAMN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46268</v>
      </c>
      <c r="F358" t="inlineStr">
        <is>
          <t>VÄSTRA GÖTALANDS LÄN</t>
        </is>
      </c>
      <c r="G358" t="inlineStr">
        <is>
          <t>ULRICEHAMN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46268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45354</v>
      </c>
      <c r="E360" s="1" t="n">
        <v>46268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46268</v>
      </c>
      <c r="F361" t="inlineStr">
        <is>
          <t>VÄSTRA GÖTALANDS LÄN</t>
        </is>
      </c>
      <c r="G361" t="inlineStr">
        <is>
          <t>ULRICEHAMN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46268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54405-2023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45233</v>
      </c>
      <c r="E363" s="1" t="n">
        <v>46268</v>
      </c>
      <c r="F363" t="inlineStr">
        <is>
          <t>VÄSTRA GÖTALANDS LÄN</t>
        </is>
      </c>
      <c r="G363" t="inlineStr">
        <is>
          <t>ULRICEHAMN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46268</v>
      </c>
      <c r="F364" t="inlineStr">
        <is>
          <t>VÄSTRA GÖTALANDS LÄN</t>
        </is>
      </c>
      <c r="G364" t="inlineStr">
        <is>
          <t>ULRICEHAMN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46268</v>
      </c>
      <c r="F365" t="inlineStr">
        <is>
          <t>VÄSTRA GÖTALANDS LÄN</t>
        </is>
      </c>
      <c r="G365" t="inlineStr">
        <is>
          <t>ULRICEHAMN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55270-2025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45968</v>
      </c>
      <c r="E366" s="1" t="n">
        <v>46268</v>
      </c>
      <c r="F366" t="inlineStr">
        <is>
          <t>VÄSTRA GÖTALANDS LÄN</t>
        </is>
      </c>
      <c r="G366" t="inlineStr">
        <is>
          <t>ULRICEHAMN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45484</v>
      </c>
      <c r="E367" s="1" t="n">
        <v>46268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45343</v>
      </c>
      <c r="E368" s="1" t="n">
        <v>46268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46268</v>
      </c>
      <c r="F369" t="inlineStr">
        <is>
          <t>VÄSTRA GÖTALANDS LÄN</t>
        </is>
      </c>
      <c r="G369" t="inlineStr">
        <is>
          <t>ULRICEHAMN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44636</v>
      </c>
      <c r="E370" s="1" t="n">
        <v>46268</v>
      </c>
      <c r="F370" t="inlineStr">
        <is>
          <t>VÄSTRA GÖTALANDS LÄN</t>
        </is>
      </c>
      <c r="G370" t="inlineStr">
        <is>
          <t>ULRICEHAMN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46268</v>
      </c>
      <c r="F371" t="inlineStr">
        <is>
          <t>VÄSTRA GÖTALANDS LÄN</t>
        </is>
      </c>
      <c r="G371" t="inlineStr">
        <is>
          <t>ULRICEHAMN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46268</v>
      </c>
      <c r="F372" t="inlineStr">
        <is>
          <t>VÄSTRA GÖTALANDS LÄN</t>
        </is>
      </c>
      <c r="G372" t="inlineStr">
        <is>
          <t>ULRICEHAMN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46268</v>
      </c>
      <c r="F373" t="inlineStr">
        <is>
          <t>VÄSTRA GÖTALANDS LÄN</t>
        </is>
      </c>
      <c r="G373" t="inlineStr">
        <is>
          <t>ULRICEHAMN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46268</v>
      </c>
      <c r="F374" t="inlineStr">
        <is>
          <t>VÄSTRA GÖTALANDS LÄN</t>
        </is>
      </c>
      <c r="G374" t="inlineStr">
        <is>
          <t>ULRICEHAMN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46268</v>
      </c>
      <c r="F375" t="inlineStr">
        <is>
          <t>VÄSTRA GÖTALANDS LÄN</t>
        </is>
      </c>
      <c r="G375" t="inlineStr">
        <is>
          <t>ULRICEHAMN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46268</v>
      </c>
      <c r="F376" t="inlineStr">
        <is>
          <t>VÄSTRA GÖTALANDS LÄN</t>
        </is>
      </c>
      <c r="G376" t="inlineStr">
        <is>
          <t>ULRICEHAMN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46268</v>
      </c>
      <c r="F377" t="inlineStr">
        <is>
          <t>VÄSTRA GÖTALANDS LÄN</t>
        </is>
      </c>
      <c r="G377" t="inlineStr">
        <is>
          <t>ULRICEHAMN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46268</v>
      </c>
      <c r="F378" t="inlineStr">
        <is>
          <t>VÄSTRA GÖTALANDS LÄN</t>
        </is>
      </c>
      <c r="G378" t="inlineStr">
        <is>
          <t>ULRICEHAMN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45362</v>
      </c>
      <c r="E379" s="1" t="n">
        <v>46268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46268</v>
      </c>
      <c r="F380" t="inlineStr">
        <is>
          <t>VÄSTRA GÖTALANDS LÄN</t>
        </is>
      </c>
      <c r="G380" t="inlineStr">
        <is>
          <t>ULRICEHAMN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46268</v>
      </c>
      <c r="F381" t="inlineStr">
        <is>
          <t>VÄSTRA GÖTALANDS LÄN</t>
        </is>
      </c>
      <c r="G381" t="inlineStr">
        <is>
          <t>ULRICEHAMN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45245</v>
      </c>
      <c r="E382" s="1" t="n">
        <v>46268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38730-2024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45547</v>
      </c>
      <c r="E383" s="1" t="n">
        <v>46268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46268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46268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46268</v>
      </c>
      <c r="F386" t="inlineStr">
        <is>
          <t>VÄSTRA GÖTALANDS LÄN</t>
        </is>
      </c>
      <c r="G386" t="inlineStr">
        <is>
          <t>ULRICEHAMN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46268</v>
      </c>
      <c r="F387" t="inlineStr">
        <is>
          <t>VÄSTRA GÖTALANDS LÄN</t>
        </is>
      </c>
      <c r="G387" t="inlineStr">
        <is>
          <t>ULRICEHAMN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46268</v>
      </c>
      <c r="F388" t="inlineStr">
        <is>
          <t>VÄSTRA GÖTALANDS LÄN</t>
        </is>
      </c>
      <c r="G388" t="inlineStr">
        <is>
          <t>ULRICEHAMN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10431-2026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46077</v>
      </c>
      <c r="E389" s="1" t="n">
        <v>46268</v>
      </c>
      <c r="F389" t="inlineStr">
        <is>
          <t>VÄSTRA GÖTALANDS LÄN</t>
        </is>
      </c>
      <c r="G389" t="inlineStr">
        <is>
          <t>ULRICEHAMN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46268</v>
      </c>
      <c r="F390" t="inlineStr">
        <is>
          <t>VÄSTRA GÖTALANDS LÄN</t>
        </is>
      </c>
      <c r="G390" t="inlineStr">
        <is>
          <t>ULRICEHAMN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26248-2023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45091</v>
      </c>
      <c r="E391" s="1" t="n">
        <v>46268</v>
      </c>
      <c r="F391" t="inlineStr">
        <is>
          <t>VÄSTRA GÖTALANDS LÄN</t>
        </is>
      </c>
      <c r="G391" t="inlineStr">
        <is>
          <t>ULRICEHAMN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3441-2024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45320</v>
      </c>
      <c r="E392" s="1" t="n">
        <v>46268</v>
      </c>
      <c r="F392" t="inlineStr">
        <is>
          <t>VÄSTRA GÖTALANDS LÄN</t>
        </is>
      </c>
      <c r="G392" t="inlineStr">
        <is>
          <t>ULRICEHAMN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46268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46268</v>
      </c>
      <c r="F394" t="inlineStr">
        <is>
          <t>VÄSTRA GÖTALANDS LÄN</t>
        </is>
      </c>
      <c r="G394" t="inlineStr">
        <is>
          <t>ULRICEHAMN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7981-2026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46063</v>
      </c>
      <c r="E395" s="1" t="n">
        <v>46268</v>
      </c>
      <c r="F395" t="inlineStr">
        <is>
          <t>VÄSTRA GÖTALANDS LÄN</t>
        </is>
      </c>
      <c r="G395" t="inlineStr">
        <is>
          <t>ULRICEHAMN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45134</v>
      </c>
      <c r="E396" s="1" t="n">
        <v>46268</v>
      </c>
      <c r="F396" t="inlineStr">
        <is>
          <t>VÄSTRA GÖTALANDS LÄN</t>
        </is>
      </c>
      <c r="G396" t="inlineStr">
        <is>
          <t>ULRICEHAMN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60562-2022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44911</v>
      </c>
      <c r="E397" s="1" t="n">
        <v>46268</v>
      </c>
      <c r="F397" t="inlineStr">
        <is>
          <t>VÄSTRA GÖTALANDS LÄN</t>
        </is>
      </c>
      <c r="G397" t="inlineStr">
        <is>
          <t>ULRICEHAMN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59885-2022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44908</v>
      </c>
      <c r="E398" s="1" t="n">
        <v>46268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46268</v>
      </c>
      <c r="F399" t="inlineStr">
        <is>
          <t>VÄSTRA GÖTALANDS LÄN</t>
        </is>
      </c>
      <c r="G399" t="inlineStr">
        <is>
          <t>ULRICEHAMN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45162</v>
      </c>
      <c r="E400" s="1" t="n">
        <v>46268</v>
      </c>
      <c r="F400" t="inlineStr">
        <is>
          <t>VÄSTRA GÖTALANDS LÄN</t>
        </is>
      </c>
      <c r="G400" t="inlineStr">
        <is>
          <t>ULRICEHAMN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45104</v>
      </c>
      <c r="E401" s="1" t="n">
        <v>46268</v>
      </c>
      <c r="F401" t="inlineStr">
        <is>
          <t>VÄSTRA GÖTALANDS LÄN</t>
        </is>
      </c>
      <c r="G401" t="inlineStr">
        <is>
          <t>ULRICEHAMN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46268</v>
      </c>
      <c r="F402" t="inlineStr">
        <is>
          <t>VÄSTRA GÖTALANDS LÄN</t>
        </is>
      </c>
      <c r="G402" t="inlineStr">
        <is>
          <t>ULRICEHAMN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46268</v>
      </c>
      <c r="F403" t="inlineStr">
        <is>
          <t>VÄSTRA GÖTALANDS LÄN</t>
        </is>
      </c>
      <c r="G403" t="inlineStr">
        <is>
          <t>ULRICEHAMN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46268</v>
      </c>
      <c r="F404" t="inlineStr">
        <is>
          <t>VÄSTRA GÖTALANDS LÄN</t>
        </is>
      </c>
      <c r="G404" t="inlineStr">
        <is>
          <t>ULRICEHAMN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46268</v>
      </c>
      <c r="F405" t="inlineStr">
        <is>
          <t>VÄSTRA GÖTALANDS LÄN</t>
        </is>
      </c>
      <c r="G405" t="inlineStr">
        <is>
          <t>ULRICEHAMN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46268</v>
      </c>
      <c r="F406" t="inlineStr">
        <is>
          <t>VÄSTRA GÖTALANDS LÄN</t>
        </is>
      </c>
      <c r="G406" t="inlineStr">
        <is>
          <t>ULRICEHAMN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40988-2023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45173</v>
      </c>
      <c r="E407" s="1" t="n">
        <v>46268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46268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46268</v>
      </c>
      <c r="F409" t="inlineStr">
        <is>
          <t>VÄSTRA GÖTALANDS LÄN</t>
        </is>
      </c>
      <c r="G409" t="inlineStr">
        <is>
          <t>ULRICEHAMN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46268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46268</v>
      </c>
      <c r="F411" t="inlineStr">
        <is>
          <t>VÄSTRA GÖTALANDS LÄN</t>
        </is>
      </c>
      <c r="G411" t="inlineStr">
        <is>
          <t>ULRICEHAMN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46268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46268</v>
      </c>
      <c r="F413" t="inlineStr">
        <is>
          <t>VÄSTRA GÖTALANDS LÄN</t>
        </is>
      </c>
      <c r="G413" t="inlineStr">
        <is>
          <t>ULRICEHAMN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46268</v>
      </c>
      <c r="F414" t="inlineStr">
        <is>
          <t>VÄSTRA GÖTALANDS LÄN</t>
        </is>
      </c>
      <c r="G414" t="inlineStr">
        <is>
          <t>ULRICEHAMN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45411</v>
      </c>
      <c r="E415" s="1" t="n">
        <v>46268</v>
      </c>
      <c r="F415" t="inlineStr">
        <is>
          <t>VÄSTRA GÖTALANDS LÄN</t>
        </is>
      </c>
      <c r="G415" t="inlineStr">
        <is>
          <t>ULRICEHAMN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45411</v>
      </c>
      <c r="E416" s="1" t="n">
        <v>46268</v>
      </c>
      <c r="F416" t="inlineStr">
        <is>
          <t>VÄSTRA GÖTALANDS LÄN</t>
        </is>
      </c>
      <c r="G416" t="inlineStr">
        <is>
          <t>ULRICEHAMN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60704-2025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45996</v>
      </c>
      <c r="E417" s="1" t="n">
        <v>46268</v>
      </c>
      <c r="F417" t="inlineStr">
        <is>
          <t>VÄSTRA GÖTALANDS LÄN</t>
        </is>
      </c>
      <c r="G417" t="inlineStr">
        <is>
          <t>ULRICEHAMN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44656</v>
      </c>
      <c r="E418" s="1" t="n">
        <v>46268</v>
      </c>
      <c r="F418" t="inlineStr">
        <is>
          <t>VÄSTRA GÖTALANDS LÄN</t>
        </is>
      </c>
      <c r="G418" t="inlineStr">
        <is>
          <t>ULRICEHAMN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46268</v>
      </c>
      <c r="F419" t="inlineStr">
        <is>
          <t>VÄSTRA GÖTALANDS LÄN</t>
        </is>
      </c>
      <c r="G419" t="inlineStr">
        <is>
          <t>ULRICEHAMN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46268</v>
      </c>
      <c r="F420" t="inlineStr">
        <is>
          <t>VÄSTRA GÖTALANDS LÄN</t>
        </is>
      </c>
      <c r="G420" t="inlineStr">
        <is>
          <t>ULRICEHAMN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46268</v>
      </c>
      <c r="F421" t="inlineStr">
        <is>
          <t>VÄSTRA GÖTALANDS LÄN</t>
        </is>
      </c>
      <c r="G421" t="inlineStr">
        <is>
          <t>ULRICEHAMN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56793-2023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46268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30585-2022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44762</v>
      </c>
      <c r="E423" s="1" t="n">
        <v>46268</v>
      </c>
      <c r="F423" t="inlineStr">
        <is>
          <t>VÄSTRA GÖTALANDS LÄN</t>
        </is>
      </c>
      <c r="G423" t="inlineStr">
        <is>
          <t>ULRICEHAMN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46268</v>
      </c>
      <c r="F424" t="inlineStr">
        <is>
          <t>VÄSTRA GÖTALANDS LÄN</t>
        </is>
      </c>
      <c r="G424" t="inlineStr">
        <is>
          <t>ULRICEHAMN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46268</v>
      </c>
      <c r="F425" t="inlineStr">
        <is>
          <t>VÄSTRA GÖTALANDS LÄN</t>
        </is>
      </c>
      <c r="G425" t="inlineStr">
        <is>
          <t>ULRICEHAMN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64998-2021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44514</v>
      </c>
      <c r="E426" s="1" t="n">
        <v>46268</v>
      </c>
      <c r="F426" t="inlineStr">
        <is>
          <t>VÄSTRA GÖTALANDS LÄN</t>
        </is>
      </c>
      <c r="G426" t="inlineStr">
        <is>
          <t>ULRICEHAMN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45203</v>
      </c>
      <c r="E427" s="1" t="n">
        <v>46268</v>
      </c>
      <c r="F427" t="inlineStr">
        <is>
          <t>VÄSTRA GÖTALANDS LÄN</t>
        </is>
      </c>
      <c r="G427" t="inlineStr">
        <is>
          <t>ULRICEHAMN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45237</v>
      </c>
      <c r="E428" s="1" t="n">
        <v>46268</v>
      </c>
      <c r="F428" t="inlineStr">
        <is>
          <t>VÄSTRA GÖTALANDS LÄN</t>
        </is>
      </c>
      <c r="G428" t="inlineStr">
        <is>
          <t>ULRICEHAMN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45677</v>
      </c>
      <c r="E429" s="1" t="n">
        <v>46268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25340-2023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45087</v>
      </c>
      <c r="E430" s="1" t="n">
        <v>46268</v>
      </c>
      <c r="F430" t="inlineStr">
        <is>
          <t>VÄSTRA GÖTALANDS LÄN</t>
        </is>
      </c>
      <c r="G430" t="inlineStr">
        <is>
          <t>ULRICEHAMN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45258</v>
      </c>
      <c r="E431" s="1" t="n">
        <v>46268</v>
      </c>
      <c r="F431" t="inlineStr">
        <is>
          <t>VÄSTRA GÖTALANDS LÄN</t>
        </is>
      </c>
      <c r="G431" t="inlineStr">
        <is>
          <t>ULRICEHAMN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45523-2024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45578</v>
      </c>
      <c r="E432" s="1" t="n">
        <v>46268</v>
      </c>
      <c r="F432" t="inlineStr">
        <is>
          <t>VÄSTRA GÖTALANDS LÄN</t>
        </is>
      </c>
      <c r="G432" t="inlineStr">
        <is>
          <t>ULRICEHAMN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17507-2024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45415</v>
      </c>
      <c r="E433" s="1" t="n">
        <v>46268</v>
      </c>
      <c r="F433" t="inlineStr">
        <is>
          <t>VÄSTRA GÖTALANDS LÄN</t>
        </is>
      </c>
      <c r="G433" t="inlineStr">
        <is>
          <t>ULRICEHAMN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46268</v>
      </c>
      <c r="F434" t="inlineStr">
        <is>
          <t>VÄSTRA GÖTALANDS LÄN</t>
        </is>
      </c>
      <c r="G434" t="inlineStr">
        <is>
          <t>ULRICEHAMN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45710</v>
      </c>
      <c r="E435" s="1" t="n">
        <v>46268</v>
      </c>
      <c r="F435" t="inlineStr">
        <is>
          <t>VÄSTRA GÖTALANDS LÄN</t>
        </is>
      </c>
      <c r="G435" t="inlineStr">
        <is>
          <t>ULRICEHAMN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45344</v>
      </c>
      <c r="E436" s="1" t="n">
        <v>46268</v>
      </c>
      <c r="F436" t="inlineStr">
        <is>
          <t>VÄSTRA GÖTALANDS LÄN</t>
        </is>
      </c>
      <c r="G436" t="inlineStr">
        <is>
          <t>ULRICEHAMN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17306-2022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44678</v>
      </c>
      <c r="E437" s="1" t="n">
        <v>46268</v>
      </c>
      <c r="F437" t="inlineStr">
        <is>
          <t>VÄSTRA GÖTALANDS LÄN</t>
        </is>
      </c>
      <c r="G437" t="inlineStr">
        <is>
          <t>ULRICEHAMN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46268</v>
      </c>
      <c r="F438" t="inlineStr">
        <is>
          <t>VÄSTRA GÖTALANDS LÄN</t>
        </is>
      </c>
      <c r="G438" t="inlineStr">
        <is>
          <t>ULRICEHAMN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46268</v>
      </c>
      <c r="F439" t="inlineStr">
        <is>
          <t>VÄSTRA GÖTALANDS LÄN</t>
        </is>
      </c>
      <c r="G439" t="inlineStr">
        <is>
          <t>ULRICEHAMN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46268</v>
      </c>
      <c r="F440" t="inlineStr">
        <is>
          <t>VÄSTRA GÖTALANDS LÄN</t>
        </is>
      </c>
      <c r="G440" t="inlineStr">
        <is>
          <t>ULRICEHAMN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45086</v>
      </c>
      <c r="E441" s="1" t="n">
        <v>46268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46268</v>
      </c>
      <c r="F442" t="inlineStr">
        <is>
          <t>VÄSTRA GÖTALANDS LÄN</t>
        </is>
      </c>
      <c r="G442" t="inlineStr">
        <is>
          <t>ULRICEHAMN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6320-2025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45698</v>
      </c>
      <c r="E443" s="1" t="n">
        <v>46268</v>
      </c>
      <c r="F443" t="inlineStr">
        <is>
          <t>VÄSTRA GÖTALANDS LÄN</t>
        </is>
      </c>
      <c r="G443" t="inlineStr">
        <is>
          <t>ULRICEHAMN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9581-2025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45715</v>
      </c>
      <c r="E444" s="1" t="n">
        <v>46268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46268</v>
      </c>
      <c r="F445" t="inlineStr">
        <is>
          <t>VÄSTRA GÖTALANDS LÄN</t>
        </is>
      </c>
      <c r="G445" t="inlineStr">
        <is>
          <t>ULRICEHAMN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44944</v>
      </c>
      <c r="E446" s="1" t="n">
        <v>46268</v>
      </c>
      <c r="F446" t="inlineStr">
        <is>
          <t>VÄSTRA GÖTALANDS LÄN</t>
        </is>
      </c>
      <c r="G446" t="inlineStr">
        <is>
          <t>ULRICEHAMN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4759-2025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45688</v>
      </c>
      <c r="E447" s="1" t="n">
        <v>46268</v>
      </c>
      <c r="F447" t="inlineStr">
        <is>
          <t>VÄSTRA GÖTALANDS LÄN</t>
        </is>
      </c>
      <c r="G447" t="inlineStr">
        <is>
          <t>ULRICEHAMN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46268</v>
      </c>
      <c r="F448" t="inlineStr">
        <is>
          <t>VÄSTRA GÖTALANDS LÄN</t>
        </is>
      </c>
      <c r="G448" t="inlineStr">
        <is>
          <t>ULRICEHAMN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45701</v>
      </c>
      <c r="E449" s="1" t="n">
        <v>46268</v>
      </c>
      <c r="F449" t="inlineStr">
        <is>
          <t>VÄSTRA GÖTALANDS LÄN</t>
        </is>
      </c>
      <c r="G449" t="inlineStr">
        <is>
          <t>ULRICEHAMN</t>
        </is>
      </c>
      <c r="H449" t="inlineStr">
        <is>
          <t>Kyrkan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50965-2024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46268</v>
      </c>
      <c r="F450" t="inlineStr">
        <is>
          <t>VÄSTRA GÖTALANDS LÄN</t>
        </is>
      </c>
      <c r="G450" t="inlineStr">
        <is>
          <t>ULRICEHAMN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46268</v>
      </c>
      <c r="F451" t="inlineStr">
        <is>
          <t>VÄSTRA GÖTALANDS LÄN</t>
        </is>
      </c>
      <c r="G451" t="inlineStr">
        <is>
          <t>ULRICEHAMN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45008</v>
      </c>
      <c r="E452" s="1" t="n">
        <v>46268</v>
      </c>
      <c r="F452" t="inlineStr">
        <is>
          <t>VÄSTRA GÖTALANDS LÄN</t>
        </is>
      </c>
      <c r="G452" t="inlineStr">
        <is>
          <t>ULRICEHAMN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45043</v>
      </c>
      <c r="E453" s="1" t="n">
        <v>46268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45153</v>
      </c>
      <c r="E454" s="1" t="n">
        <v>46268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46268</v>
      </c>
      <c r="F455" t="inlineStr">
        <is>
          <t>VÄSTRA GÖTALANDS LÄN</t>
        </is>
      </c>
      <c r="G455" t="inlineStr">
        <is>
          <t>ULRICEHAMN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45605</v>
      </c>
      <c r="E456" s="1" t="n">
        <v>46268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55160-2023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46268</v>
      </c>
      <c r="F457" t="inlineStr">
        <is>
          <t>VÄSTRA GÖTALANDS LÄN</t>
        </is>
      </c>
      <c r="G457" t="inlineStr">
        <is>
          <t>ULRICEHAMN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45006</v>
      </c>
      <c r="E458" s="1" t="n">
        <v>46268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44971</v>
      </c>
      <c r="E459" s="1" t="n">
        <v>46268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44781</v>
      </c>
      <c r="E460" s="1" t="n">
        <v>46268</v>
      </c>
      <c r="F460" t="inlineStr">
        <is>
          <t>VÄSTRA GÖTALANDS LÄN</t>
        </is>
      </c>
      <c r="G460" t="inlineStr">
        <is>
          <t>ULRICEHAMN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45626</v>
      </c>
      <c r="E461" s="1" t="n">
        <v>46268</v>
      </c>
      <c r="F461" t="inlineStr">
        <is>
          <t>VÄSTRA GÖTALANDS LÄN</t>
        </is>
      </c>
      <c r="G461" t="inlineStr">
        <is>
          <t>ULRICEHAMN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45626</v>
      </c>
      <c r="E462" s="1" t="n">
        <v>46268</v>
      </c>
      <c r="F462" t="inlineStr">
        <is>
          <t>VÄSTRA GÖTALANDS LÄN</t>
        </is>
      </c>
      <c r="G462" t="inlineStr">
        <is>
          <t>ULRICEHAMN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45666</v>
      </c>
      <c r="E463" s="1" t="n">
        <v>46268</v>
      </c>
      <c r="F463" t="inlineStr">
        <is>
          <t>VÄSTRA GÖTALANDS LÄN</t>
        </is>
      </c>
      <c r="G463" t="inlineStr">
        <is>
          <t>ULRICEHAMN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46268</v>
      </c>
      <c r="F464" t="inlineStr">
        <is>
          <t>VÄSTRA GÖTALANDS LÄN</t>
        </is>
      </c>
      <c r="G464" t="inlineStr">
        <is>
          <t>ULRICEHAMN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46268</v>
      </c>
      <c r="F465" t="inlineStr">
        <is>
          <t>VÄSTRA GÖTALANDS LÄN</t>
        </is>
      </c>
      <c r="G465" t="inlineStr">
        <is>
          <t>ULRICEHAMN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45236</v>
      </c>
      <c r="E466" s="1" t="n">
        <v>46268</v>
      </c>
      <c r="F466" t="inlineStr">
        <is>
          <t>VÄSTRA GÖTALANDS LÄN</t>
        </is>
      </c>
      <c r="G466" t="inlineStr">
        <is>
          <t>ULRICEHAMN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45236</v>
      </c>
      <c r="E467" s="1" t="n">
        <v>46268</v>
      </c>
      <c r="F467" t="inlineStr">
        <is>
          <t>VÄSTRA GÖTALANDS LÄN</t>
        </is>
      </c>
      <c r="G467" t="inlineStr">
        <is>
          <t>ULRICEHAMN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45194</v>
      </c>
      <c r="E468" s="1" t="n">
        <v>46268</v>
      </c>
      <c r="F468" t="inlineStr">
        <is>
          <t>VÄSTRA GÖTALANDS LÄN</t>
        </is>
      </c>
      <c r="G468" t="inlineStr">
        <is>
          <t>ULRICEHAMN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45140</v>
      </c>
      <c r="E469" s="1" t="n">
        <v>46268</v>
      </c>
      <c r="F469" t="inlineStr">
        <is>
          <t>VÄSTRA GÖTALANDS LÄN</t>
        </is>
      </c>
      <c r="G469" t="inlineStr">
        <is>
          <t>ULRICEHAMN</t>
        </is>
      </c>
      <c r="I469" t="n">
        <v>17.6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34771-2023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45140</v>
      </c>
      <c r="E470" s="1" t="n">
        <v>46268</v>
      </c>
      <c r="F470" t="inlineStr">
        <is>
          <t>VÄSTRA GÖTALANDS LÄN</t>
        </is>
      </c>
      <c r="G470" t="inlineStr">
        <is>
          <t>ULRICEHAMN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46268</v>
      </c>
      <c r="F471" t="inlineStr">
        <is>
          <t>VÄSTRA GÖTALANDS LÄN</t>
        </is>
      </c>
      <c r="G471" t="inlineStr">
        <is>
          <t>ULRICEHAMN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46118</v>
      </c>
      <c r="E472" s="1" t="n">
        <v>46268</v>
      </c>
      <c r="F472" t="inlineStr">
        <is>
          <t>VÄSTRA GÖTALANDS LÄN</t>
        </is>
      </c>
      <c r="G472" t="inlineStr">
        <is>
          <t>ULRICEHAMN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51723-2024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45607</v>
      </c>
      <c r="E473" s="1" t="n">
        <v>46268</v>
      </c>
      <c r="F473" t="inlineStr">
        <is>
          <t>VÄSTRA GÖTALANDS LÄN</t>
        </is>
      </c>
      <c r="G473" t="inlineStr">
        <is>
          <t>ULRICEHAMN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37358-2022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44809</v>
      </c>
      <c r="E474" s="1" t="n">
        <v>46268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46268</v>
      </c>
      <c r="F475" t="inlineStr">
        <is>
          <t>VÄSTRA GÖTALANDS LÄN</t>
        </is>
      </c>
      <c r="G475" t="inlineStr">
        <is>
          <t>ULRICEHAMN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46268</v>
      </c>
      <c r="F476" t="inlineStr">
        <is>
          <t>VÄSTRA GÖTALANDS LÄN</t>
        </is>
      </c>
      <c r="G476" t="inlineStr">
        <is>
          <t>ULRICEHAMN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46268</v>
      </c>
      <c r="F477" t="inlineStr">
        <is>
          <t>VÄSTRA GÖTALANDS LÄN</t>
        </is>
      </c>
      <c r="G477" t="inlineStr">
        <is>
          <t>ULRICEHAMN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46268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46268</v>
      </c>
      <c r="F479" t="inlineStr">
        <is>
          <t>VÄSTRA GÖTALANDS LÄN</t>
        </is>
      </c>
      <c r="G479" t="inlineStr">
        <is>
          <t>ULRICEHAMN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45273</v>
      </c>
      <c r="E480" s="1" t="n">
        <v>46268</v>
      </c>
      <c r="F480" t="inlineStr">
        <is>
          <t>VÄSTRA GÖTALANDS LÄN</t>
        </is>
      </c>
      <c r="G480" t="inlineStr">
        <is>
          <t>ULRICEHAMN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44638</v>
      </c>
      <c r="E481" s="1" t="n">
        <v>46268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Kommuner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46128</v>
      </c>
      <c r="E482" s="1" t="n">
        <v>46268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Kyrkan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18745-2026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46128</v>
      </c>
      <c r="E483" s="1" t="n">
        <v>46268</v>
      </c>
      <c r="F483" t="inlineStr">
        <is>
          <t>VÄSTRA GÖTALANDS LÄN</t>
        </is>
      </c>
      <c r="G483" t="inlineStr">
        <is>
          <t>ULRICEHAMN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45686</v>
      </c>
      <c r="E484" s="1" t="n">
        <v>46268</v>
      </c>
      <c r="F484" t="inlineStr">
        <is>
          <t>VÄSTRA GÖTALANDS LÄN</t>
        </is>
      </c>
      <c r="G484" t="inlineStr">
        <is>
          <t>ULRICEHAMN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46268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46268</v>
      </c>
      <c r="F486" t="inlineStr">
        <is>
          <t>VÄSTRA GÖTALANDS LÄN</t>
        </is>
      </c>
      <c r="G486" t="inlineStr">
        <is>
          <t>ULRICEHAMN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46268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46268</v>
      </c>
      <c r="F488" t="inlineStr">
        <is>
          <t>VÄSTRA GÖTALANDS LÄN</t>
        </is>
      </c>
      <c r="G488" t="inlineStr">
        <is>
          <t>ULRICEHAMN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46268</v>
      </c>
      <c r="F489" t="inlineStr">
        <is>
          <t>VÄSTRA GÖTALANDS LÄN</t>
        </is>
      </c>
      <c r="G489" t="inlineStr">
        <is>
          <t>ULRICEHAMN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45223</v>
      </c>
      <c r="E490" s="1" t="n">
        <v>46268</v>
      </c>
      <c r="F490" t="inlineStr">
        <is>
          <t>VÄSTRA GÖTALANDS LÄN</t>
        </is>
      </c>
      <c r="G490" t="inlineStr">
        <is>
          <t>ULRICEHAMN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46268</v>
      </c>
      <c r="F491" t="inlineStr">
        <is>
          <t>VÄSTRA GÖTALANDS LÄN</t>
        </is>
      </c>
      <c r="G491" t="inlineStr">
        <is>
          <t>ULRICEHAMN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46268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45626</v>
      </c>
      <c r="E493" s="1" t="n">
        <v>46268</v>
      </c>
      <c r="F493" t="inlineStr">
        <is>
          <t>VÄSTRA GÖTALANDS LÄN</t>
        </is>
      </c>
      <c r="G493" t="inlineStr">
        <is>
          <t>ULRICEHAMN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45947</v>
      </c>
      <c r="E494" s="1" t="n">
        <v>46268</v>
      </c>
      <c r="F494" t="inlineStr">
        <is>
          <t>VÄSTRA GÖTALANDS LÄN</t>
        </is>
      </c>
      <c r="G494" t="inlineStr">
        <is>
          <t>ULRICEHAMN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40684-2024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45558</v>
      </c>
      <c r="E495" s="1" t="n">
        <v>46268</v>
      </c>
      <c r="F495" t="inlineStr">
        <is>
          <t>VÄSTRA GÖTALANDS LÄN</t>
        </is>
      </c>
      <c r="G495" t="inlineStr">
        <is>
          <t>ULRICEHAMN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45161</v>
      </c>
      <c r="E496" s="1" t="n">
        <v>46268</v>
      </c>
      <c r="F496" t="inlineStr">
        <is>
          <t>VÄSTRA GÖTALANDS LÄN</t>
        </is>
      </c>
      <c r="G496" t="inlineStr">
        <is>
          <t>ULRICEHAMN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44626</v>
      </c>
      <c r="E497" s="1" t="n">
        <v>46268</v>
      </c>
      <c r="F497" t="inlineStr">
        <is>
          <t>VÄSTRA GÖTALANDS LÄN</t>
        </is>
      </c>
      <c r="G497" t="inlineStr">
        <is>
          <t>ULRICEHAMN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60744-2022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44914</v>
      </c>
      <c r="E498" s="1" t="n">
        <v>46268</v>
      </c>
      <c r="F498" t="inlineStr">
        <is>
          <t>VÄSTRA GÖTALANDS LÄN</t>
        </is>
      </c>
      <c r="G498" t="inlineStr">
        <is>
          <t>ULRICEHAMN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14919-2024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45398</v>
      </c>
      <c r="E499" s="1" t="n">
        <v>46268</v>
      </c>
      <c r="F499" t="inlineStr">
        <is>
          <t>VÄSTRA GÖTALANDS LÄN</t>
        </is>
      </c>
      <c r="G499" t="inlineStr">
        <is>
          <t>ULRICEHAMN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44971</v>
      </c>
      <c r="E500" s="1" t="n">
        <v>46268</v>
      </c>
      <c r="F500" t="inlineStr">
        <is>
          <t>VÄSTRA GÖTALANDS LÄN</t>
        </is>
      </c>
      <c r="G500" t="inlineStr">
        <is>
          <t>ULRICEHAMN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59749-2025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46268</v>
      </c>
      <c r="F501" t="inlineStr">
        <is>
          <t>VÄSTRA GÖTALANDS LÄN</t>
        </is>
      </c>
      <c r="G501" t="inlineStr">
        <is>
          <t>ULRICEHAMN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45797</v>
      </c>
      <c r="E502" s="1" t="n">
        <v>46268</v>
      </c>
      <c r="F502" t="inlineStr">
        <is>
          <t>VÄSTRA GÖTALANDS LÄN</t>
        </is>
      </c>
      <c r="G502" t="inlineStr">
        <is>
          <t>ULRICEHAMN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65400-2021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44515</v>
      </c>
      <c r="E503" s="1" t="n">
        <v>46268</v>
      </c>
      <c r="F503" t="inlineStr">
        <is>
          <t>VÄSTRA GÖTALANDS LÄN</t>
        </is>
      </c>
      <c r="G503" t="inlineStr">
        <is>
          <t>ULRICEHAMN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45199</v>
      </c>
      <c r="E504" s="1" t="n">
        <v>46268</v>
      </c>
      <c r="F504" t="inlineStr">
        <is>
          <t>VÄSTRA GÖTALANDS LÄN</t>
        </is>
      </c>
      <c r="G504" t="inlineStr">
        <is>
          <t>ULRICEHAMN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22480-2023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45071</v>
      </c>
      <c r="E505" s="1" t="n">
        <v>46268</v>
      </c>
      <c r="F505" t="inlineStr">
        <is>
          <t>VÄSTRA GÖTALANDS LÄN</t>
        </is>
      </c>
      <c r="G505" t="inlineStr">
        <is>
          <t>ULRICEHAMN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18919-2024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45427</v>
      </c>
      <c r="E506" s="1" t="n">
        <v>46268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40365-2025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45895</v>
      </c>
      <c r="E507" s="1" t="n">
        <v>46268</v>
      </c>
      <c r="F507" t="inlineStr">
        <is>
          <t>VÄSTRA GÖTALANDS LÄN</t>
        </is>
      </c>
      <c r="G507" t="inlineStr">
        <is>
          <t>ULRICEHAMN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46268</v>
      </c>
      <c r="F508" t="inlineStr">
        <is>
          <t>VÄSTRA GÖTALANDS LÄN</t>
        </is>
      </c>
      <c r="G508" t="inlineStr">
        <is>
          <t>ULRICEHAMN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44830</v>
      </c>
      <c r="E509" s="1" t="n">
        <v>46268</v>
      </c>
      <c r="F509" t="inlineStr">
        <is>
          <t>VÄSTRA GÖTALANDS LÄN</t>
        </is>
      </c>
      <c r="G509" t="inlineStr">
        <is>
          <t>ULRICEHAMN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46268</v>
      </c>
      <c r="F510" t="inlineStr">
        <is>
          <t>VÄSTRA GÖTALANDS LÄN</t>
        </is>
      </c>
      <c r="G510" t="inlineStr">
        <is>
          <t>ULRICEHAMN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31940-2025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45835</v>
      </c>
      <c r="E511" s="1" t="n">
        <v>46268</v>
      </c>
      <c r="F511" t="inlineStr">
        <is>
          <t>VÄSTRA GÖTALANDS LÄN</t>
        </is>
      </c>
      <c r="G511" t="inlineStr">
        <is>
          <t>ULRICEHAMN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44965</v>
      </c>
      <c r="E512" s="1" t="n">
        <v>46268</v>
      </c>
      <c r="F512" t="inlineStr">
        <is>
          <t>VÄSTRA GÖTALANDS LÄN</t>
        </is>
      </c>
      <c r="G512" t="inlineStr">
        <is>
          <t>ULRICEHAMN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46171-2025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46268</v>
      </c>
      <c r="F513" t="inlineStr">
        <is>
          <t>VÄSTRA GÖTALANDS LÄN</t>
        </is>
      </c>
      <c r="G513" t="inlineStr">
        <is>
          <t>ULRICEHAMN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45826</v>
      </c>
      <c r="E514" s="1" t="n">
        <v>46268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55448-2023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45231</v>
      </c>
      <c r="E515" s="1" t="n">
        <v>46268</v>
      </c>
      <c r="F515" t="inlineStr">
        <is>
          <t>VÄSTRA GÖTALANDS LÄN</t>
        </is>
      </c>
      <c r="G515" t="inlineStr">
        <is>
          <t>ULRICEHAMN</t>
        </is>
      </c>
      <c r="I515" t="n">
        <v>14.7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46268</v>
      </c>
      <c r="F516" t="inlineStr">
        <is>
          <t>VÄSTRA GÖTALANDS LÄN</t>
        </is>
      </c>
      <c r="G516" t="inlineStr">
        <is>
          <t>ULRICEHAMN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46268</v>
      </c>
      <c r="F517" t="inlineStr">
        <is>
          <t>VÄSTRA GÖTALANDS LÄN</t>
        </is>
      </c>
      <c r="G517" t="inlineStr">
        <is>
          <t>ULRICEHAMN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46268</v>
      </c>
      <c r="F518" t="inlineStr">
        <is>
          <t>VÄSTRA GÖTALANDS LÄN</t>
        </is>
      </c>
      <c r="G518" t="inlineStr">
        <is>
          <t>ULRICEHAMN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46268</v>
      </c>
      <c r="F519" t="inlineStr">
        <is>
          <t>VÄSTRA GÖTALANDS LÄN</t>
        </is>
      </c>
      <c r="G519" t="inlineStr">
        <is>
          <t>ULRICEHAMN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45498</v>
      </c>
      <c r="E520" s="1" t="n">
        <v>46268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Kyrkan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46268</v>
      </c>
      <c r="F521" t="inlineStr">
        <is>
          <t>VÄSTRA GÖTALANDS LÄN</t>
        </is>
      </c>
      <c r="G521" t="inlineStr">
        <is>
          <t>ULRICEHAMN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46493-2023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45197</v>
      </c>
      <c r="E522" s="1" t="n">
        <v>46268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Sveaskog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46268</v>
      </c>
      <c r="F523" t="inlineStr">
        <is>
          <t>VÄSTRA GÖTALANDS LÄN</t>
        </is>
      </c>
      <c r="G523" t="inlineStr">
        <is>
          <t>ULRICEHAMN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45357</v>
      </c>
      <c r="E524" s="1" t="n">
        <v>46268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46268</v>
      </c>
      <c r="F525" t="inlineStr">
        <is>
          <t>VÄSTRA GÖTALANDS LÄN</t>
        </is>
      </c>
      <c r="G525" t="inlineStr">
        <is>
          <t>ULRICEHAMN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38697-2023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46268</v>
      </c>
      <c r="F526" t="inlineStr">
        <is>
          <t>VÄSTRA GÖTALANDS LÄN</t>
        </is>
      </c>
      <c r="G526" t="inlineStr">
        <is>
          <t>ULRICEHAMN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46268</v>
      </c>
      <c r="F527" t="inlineStr">
        <is>
          <t>VÄSTRA GÖTALANDS LÄN</t>
        </is>
      </c>
      <c r="G527" t="inlineStr">
        <is>
          <t>ULRICEHAMN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69114-2021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44530</v>
      </c>
      <c r="E528" s="1" t="n">
        <v>46268</v>
      </c>
      <c r="F528" t="inlineStr">
        <is>
          <t>VÄSTRA GÖTALANDS LÄN</t>
        </is>
      </c>
      <c r="G528" t="inlineStr">
        <is>
          <t>ULRICEHAMN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16278-2024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45407</v>
      </c>
      <c r="E529" s="1" t="n">
        <v>46268</v>
      </c>
      <c r="F529" t="inlineStr">
        <is>
          <t>VÄSTRA GÖTALANDS LÄN</t>
        </is>
      </c>
      <c r="G529" t="inlineStr">
        <is>
          <t>ULRICEHAMN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46268</v>
      </c>
      <c r="F530" t="inlineStr">
        <is>
          <t>VÄSTRA GÖTALANDS LÄN</t>
        </is>
      </c>
      <c r="G530" t="inlineStr">
        <is>
          <t>ULRICEHAMN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44847</v>
      </c>
      <c r="E531" s="1" t="n">
        <v>46268</v>
      </c>
      <c r="F531" t="inlineStr">
        <is>
          <t>VÄSTRA GÖTALANDS LÄN</t>
        </is>
      </c>
      <c r="G531" t="inlineStr">
        <is>
          <t>ULRICEHAMN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38340-2022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46268</v>
      </c>
      <c r="F532" t="inlineStr">
        <is>
          <t>VÄSTRA GÖTALANDS LÄN</t>
        </is>
      </c>
      <c r="G532" t="inlineStr">
        <is>
          <t>ULRICEHAMN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44971</v>
      </c>
      <c r="E533" s="1" t="n">
        <v>46268</v>
      </c>
      <c r="F533" t="inlineStr">
        <is>
          <t>VÄSTRA GÖTALANDS LÄN</t>
        </is>
      </c>
      <c r="G533" t="inlineStr">
        <is>
          <t>ULRICEHAMN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46268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18296-2022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44685</v>
      </c>
      <c r="E535" s="1" t="n">
        <v>46268</v>
      </c>
      <c r="F535" t="inlineStr">
        <is>
          <t>VÄSTRA GÖTALANDS LÄN</t>
        </is>
      </c>
      <c r="G535" t="inlineStr">
        <is>
          <t>ULRICEHAMN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46268</v>
      </c>
      <c r="F536" t="inlineStr">
        <is>
          <t>VÄSTRA GÖTALANDS LÄN</t>
        </is>
      </c>
      <c r="G536" t="inlineStr">
        <is>
          <t>ULRICEHAMN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45538</v>
      </c>
      <c r="E537" s="1" t="n">
        <v>46268</v>
      </c>
      <c r="F537" t="inlineStr">
        <is>
          <t>VÄSTRA GÖTALANDS LÄN</t>
        </is>
      </c>
      <c r="G537" t="inlineStr">
        <is>
          <t>ULRICEHAMN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26749-2023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46268</v>
      </c>
      <c r="F538" t="inlineStr">
        <is>
          <t>VÄSTRA GÖTALANDS LÄN</t>
        </is>
      </c>
      <c r="G538" t="inlineStr">
        <is>
          <t>ULRICEHAMN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3440-2024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45320</v>
      </c>
      <c r="E539" s="1" t="n">
        <v>46268</v>
      </c>
      <c r="F539" t="inlineStr">
        <is>
          <t>VÄSTRA GÖTALANDS LÄN</t>
        </is>
      </c>
      <c r="G539" t="inlineStr">
        <is>
          <t>ULRICEHAMN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31212-2022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44771</v>
      </c>
      <c r="E540" s="1" t="n">
        <v>46268</v>
      </c>
      <c r="F540" t="inlineStr">
        <is>
          <t>VÄSTRA GÖTALANDS LÄN</t>
        </is>
      </c>
      <c r="G540" t="inlineStr">
        <is>
          <t>ULRICEHAMN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53825-2025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46268</v>
      </c>
      <c r="F541" t="inlineStr">
        <is>
          <t>VÄSTRA GÖTALANDS LÄN</t>
        </is>
      </c>
      <c r="G541" t="inlineStr">
        <is>
          <t>ULRICEHAMN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46268</v>
      </c>
      <c r="F542" t="inlineStr">
        <is>
          <t>VÄSTRA GÖTALANDS LÄN</t>
        </is>
      </c>
      <c r="G542" t="inlineStr">
        <is>
          <t>ULRICEHAMN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39343-2022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44817</v>
      </c>
      <c r="E543" s="1" t="n">
        <v>46268</v>
      </c>
      <c r="F543" t="inlineStr">
        <is>
          <t>VÄSTRA GÖTALANDS LÄN</t>
        </is>
      </c>
      <c r="G543" t="inlineStr">
        <is>
          <t>ULRICEHAMN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46268</v>
      </c>
      <c r="F544" t="inlineStr">
        <is>
          <t>VÄSTRA GÖTALANDS LÄN</t>
        </is>
      </c>
      <c r="G544" t="inlineStr">
        <is>
          <t>ULRICEHAMN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45671</v>
      </c>
      <c r="E545" s="1" t="n">
        <v>46268</v>
      </c>
      <c r="F545" t="inlineStr">
        <is>
          <t>VÄSTRA GÖTALANDS LÄN</t>
        </is>
      </c>
      <c r="G545" t="inlineStr">
        <is>
          <t>ULRICEHAMN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45002</v>
      </c>
      <c r="E546" s="1" t="n">
        <v>46268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45484</v>
      </c>
      <c r="E547" s="1" t="n">
        <v>46268</v>
      </c>
      <c r="F547" t="inlineStr">
        <is>
          <t>VÄSTRA GÖTALANDS LÄN</t>
        </is>
      </c>
      <c r="G547" t="inlineStr">
        <is>
          <t>ULRICEHAMN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52681-2023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46268</v>
      </c>
      <c r="F548" t="inlineStr">
        <is>
          <t>VÄSTRA GÖTALANDS LÄN</t>
        </is>
      </c>
      <c r="G548" t="inlineStr">
        <is>
          <t>ULRICEHAMN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45625</v>
      </c>
      <c r="E549" s="1" t="n">
        <v>46268</v>
      </c>
      <c r="F549" t="inlineStr">
        <is>
          <t>VÄSTRA GÖTALANDS LÄN</t>
        </is>
      </c>
      <c r="G549" t="inlineStr">
        <is>
          <t>ULRICEHAMN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45140</v>
      </c>
      <c r="E550" s="1" t="n">
        <v>46268</v>
      </c>
      <c r="F550" t="inlineStr">
        <is>
          <t>VÄSTRA GÖTALANDS LÄN</t>
        </is>
      </c>
      <c r="G550" t="inlineStr">
        <is>
          <t>ULRICEHAMN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45120</v>
      </c>
      <c r="E551" s="1" t="n">
        <v>46268</v>
      </c>
      <c r="F551" t="inlineStr">
        <is>
          <t>VÄSTRA GÖTALANDS LÄN</t>
        </is>
      </c>
      <c r="G551" t="inlineStr">
        <is>
          <t>ULRICEHAMN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46268</v>
      </c>
      <c r="F552" t="inlineStr">
        <is>
          <t>VÄSTRA GÖTALANDS LÄN</t>
        </is>
      </c>
      <c r="G552" t="inlineStr">
        <is>
          <t>ULRICEHAMN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17999-2026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46125</v>
      </c>
      <c r="E553" s="1" t="n">
        <v>46268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39464-2023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45166</v>
      </c>
      <c r="E554" s="1" t="n">
        <v>46268</v>
      </c>
      <c r="F554" t="inlineStr">
        <is>
          <t>VÄSTRA GÖTALANDS LÄN</t>
        </is>
      </c>
      <c r="G554" t="inlineStr">
        <is>
          <t>ULRICEHAMN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39473-2023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46268</v>
      </c>
      <c r="F555" t="inlineStr">
        <is>
          <t>VÄSTRA GÖTALANDS LÄN</t>
        </is>
      </c>
      <c r="G555" t="inlineStr">
        <is>
          <t>ULRICEHAMN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39476-2023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46268</v>
      </c>
      <c r="F556" t="inlineStr">
        <is>
          <t>VÄSTRA GÖTALANDS LÄN</t>
        </is>
      </c>
      <c r="G556" t="inlineStr">
        <is>
          <t>ULRICEHAMN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52481-2021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44466</v>
      </c>
      <c r="E557" s="1" t="n">
        <v>46268</v>
      </c>
      <c r="F557" t="inlineStr">
        <is>
          <t>VÄSTRA GÖTALANDS LÄN</t>
        </is>
      </c>
      <c r="G557" t="inlineStr">
        <is>
          <t>ULRICEHAMN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44959</v>
      </c>
      <c r="E558" s="1" t="n">
        <v>46268</v>
      </c>
      <c r="F558" t="inlineStr">
        <is>
          <t>VÄSTRA GÖTALANDS LÄN</t>
        </is>
      </c>
      <c r="G558" t="inlineStr">
        <is>
          <t>ULRICEHAMN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44959</v>
      </c>
      <c r="E559" s="1" t="n">
        <v>46268</v>
      </c>
      <c r="F559" t="inlineStr">
        <is>
          <t>VÄSTRA GÖTALANDS LÄN</t>
        </is>
      </c>
      <c r="G559" t="inlineStr">
        <is>
          <t>ULRICEHAMN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19864-2025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45771</v>
      </c>
      <c r="E560" s="1" t="n">
        <v>46268</v>
      </c>
      <c r="F560" t="inlineStr">
        <is>
          <t>VÄSTRA GÖTALANDS LÄN</t>
        </is>
      </c>
      <c r="G560" t="inlineStr">
        <is>
          <t>ULRICEHAMN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54519-2022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44882</v>
      </c>
      <c r="E561" s="1" t="n">
        <v>46268</v>
      </c>
      <c r="F561" t="inlineStr">
        <is>
          <t>VÄSTRA GÖTALANDS LÄN</t>
        </is>
      </c>
      <c r="G561" t="inlineStr">
        <is>
          <t>ULRICEHAMN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22942-2023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46268</v>
      </c>
      <c r="F562" t="inlineStr">
        <is>
          <t>VÄSTRA GÖTALANDS LÄN</t>
        </is>
      </c>
      <c r="G562" t="inlineStr">
        <is>
          <t>ULRICEHAMN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44845</v>
      </c>
      <c r="E563" s="1" t="n">
        <v>46268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6438-2024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46268</v>
      </c>
      <c r="F564" t="inlineStr">
        <is>
          <t>VÄSTRA GÖTALANDS LÄN</t>
        </is>
      </c>
      <c r="G564" t="inlineStr">
        <is>
          <t>ULRICEHAMN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14599-2024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45395</v>
      </c>
      <c r="E565" s="1" t="n">
        <v>46268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46268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45676</v>
      </c>
      <c r="E567" s="1" t="n">
        <v>46268</v>
      </c>
      <c r="F567" t="inlineStr">
        <is>
          <t>VÄSTRA GÖTALANDS LÄN</t>
        </is>
      </c>
      <c r="G567" t="inlineStr">
        <is>
          <t>ULRICEHAMN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45385</v>
      </c>
      <c r="E568" s="1" t="n">
        <v>46268</v>
      </c>
      <c r="F568" t="inlineStr">
        <is>
          <t>VÄSTRA GÖTALANDS LÄN</t>
        </is>
      </c>
      <c r="G568" t="inlineStr">
        <is>
          <t>ULRICEHAMN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45626</v>
      </c>
      <c r="E569" s="1" t="n">
        <v>46268</v>
      </c>
      <c r="F569" t="inlineStr">
        <is>
          <t>VÄSTRA GÖTALANDS LÄN</t>
        </is>
      </c>
      <c r="G569" t="inlineStr">
        <is>
          <t>ULRICEHAMN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56672-2024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45626</v>
      </c>
      <c r="E570" s="1" t="n">
        <v>46268</v>
      </c>
      <c r="F570" t="inlineStr">
        <is>
          <t>VÄSTRA GÖTALANDS LÄN</t>
        </is>
      </c>
      <c r="G570" t="inlineStr">
        <is>
          <t>ULRICEHAMN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45626</v>
      </c>
      <c r="E571" s="1" t="n">
        <v>46268</v>
      </c>
      <c r="F571" t="inlineStr">
        <is>
          <t>VÄSTRA GÖTALANDS LÄN</t>
        </is>
      </c>
      <c r="G571" t="inlineStr">
        <is>
          <t>ULRICEHAMN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46268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46268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Sveaskog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45299</v>
      </c>
      <c r="E574" s="1" t="n">
        <v>46268</v>
      </c>
      <c r="F574" t="inlineStr">
        <is>
          <t>VÄSTRA GÖTALANDS LÄN</t>
        </is>
      </c>
      <c r="G574" t="inlineStr">
        <is>
          <t>ULRICEHAMN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42677-2023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45181</v>
      </c>
      <c r="E575" s="1" t="n">
        <v>46268</v>
      </c>
      <c r="F575" t="inlineStr">
        <is>
          <t>VÄSTRA GÖTALANDS LÄN</t>
        </is>
      </c>
      <c r="G575" t="inlineStr">
        <is>
          <t>ULRICEHAMN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45320</v>
      </c>
      <c r="E576" s="1" t="n">
        <v>46268</v>
      </c>
      <c r="F576" t="inlineStr">
        <is>
          <t>VÄSTRA GÖTALANDS LÄN</t>
        </is>
      </c>
      <c r="G576" t="inlineStr">
        <is>
          <t>ULRICEHAMN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52172-2023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45224</v>
      </c>
      <c r="E577" s="1" t="n">
        <v>46268</v>
      </c>
      <c r="F577" t="inlineStr">
        <is>
          <t>VÄSTRA GÖTALANDS LÄN</t>
        </is>
      </c>
      <c r="G577" t="inlineStr">
        <is>
          <t>ULRICEHAMN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46268</v>
      </c>
      <c r="F578" t="inlineStr">
        <is>
          <t>VÄSTRA GÖTALANDS LÄN</t>
        </is>
      </c>
      <c r="G578" t="inlineStr">
        <is>
          <t>ULRICEHAMN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46268</v>
      </c>
      <c r="F579" t="inlineStr">
        <is>
          <t>VÄSTRA GÖTALANDS LÄN</t>
        </is>
      </c>
      <c r="G579" t="inlineStr">
        <is>
          <t>ULRICEHAMN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39145-2023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46268</v>
      </c>
      <c r="F580" t="inlineStr">
        <is>
          <t>VÄSTRA GÖTALANDS LÄN</t>
        </is>
      </c>
      <c r="G580" t="inlineStr">
        <is>
          <t>ULRICEHAMN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46268</v>
      </c>
      <c r="F581" t="inlineStr">
        <is>
          <t>VÄSTRA GÖTALANDS LÄN</t>
        </is>
      </c>
      <c r="G581" t="inlineStr">
        <is>
          <t>ULRICEHAMN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44930-2023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45190</v>
      </c>
      <c r="E582" s="1" t="n">
        <v>46268</v>
      </c>
      <c r="F582" t="inlineStr">
        <is>
          <t>VÄSTRA GÖTALANDS LÄN</t>
        </is>
      </c>
      <c r="G582" t="inlineStr">
        <is>
          <t>ULRICEHAMN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61908-2021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44501</v>
      </c>
      <c r="E583" s="1" t="n">
        <v>46268</v>
      </c>
      <c r="F583" t="inlineStr">
        <is>
          <t>VÄSTRA GÖTALANDS LÄN</t>
        </is>
      </c>
      <c r="G583" t="inlineStr">
        <is>
          <t>ULRICEHAMN</t>
        </is>
      </c>
      <c r="I583" t="n">
        <v>10.1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46227</v>
      </c>
      <c r="E584" s="1" t="n">
        <v>46268</v>
      </c>
      <c r="F584" t="inlineStr">
        <is>
          <t>VÄSTRA GÖTALANDS LÄN</t>
        </is>
      </c>
      <c r="G584" t="inlineStr">
        <is>
          <t>ULRICEHAMN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12727-2024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45384</v>
      </c>
      <c r="E585" s="1" t="n">
        <v>46268</v>
      </c>
      <c r="F585" t="inlineStr">
        <is>
          <t>VÄSTRA GÖTALANDS LÄN</t>
        </is>
      </c>
      <c r="G585" t="inlineStr">
        <is>
          <t>ULRICEHAMN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45163</v>
      </c>
      <c r="E586" s="1" t="n">
        <v>46268</v>
      </c>
      <c r="F586" t="inlineStr">
        <is>
          <t>VÄSTRA GÖTALANDS LÄN</t>
        </is>
      </c>
      <c r="G586" t="inlineStr">
        <is>
          <t>ULRICEHAMN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31863-2026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46231</v>
      </c>
      <c r="E587" s="1" t="n">
        <v>46268</v>
      </c>
      <c r="F587" t="inlineStr">
        <is>
          <t>VÄSTRA GÖTALANDS LÄN</t>
        </is>
      </c>
      <c r="G587" t="inlineStr">
        <is>
          <t>ULRICEHAMN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49825-2024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45597</v>
      </c>
      <c r="E588" s="1" t="n">
        <v>46268</v>
      </c>
      <c r="F588" t="inlineStr">
        <is>
          <t>VÄSTRA GÖTALANDS LÄN</t>
        </is>
      </c>
      <c r="G588" t="inlineStr">
        <is>
          <t>ULRICEHAMN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42438-2024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45565</v>
      </c>
      <c r="E589" s="1" t="n">
        <v>46268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52712-2023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45225</v>
      </c>
      <c r="E590" s="1" t="n">
        <v>46268</v>
      </c>
      <c r="F590" t="inlineStr">
        <is>
          <t>VÄSTRA GÖTALANDS LÄN</t>
        </is>
      </c>
      <c r="G590" t="inlineStr">
        <is>
          <t>ULRICEHAMN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52714-2023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45225</v>
      </c>
      <c r="E591" s="1" t="n">
        <v>46268</v>
      </c>
      <c r="F591" t="inlineStr">
        <is>
          <t>VÄSTRA GÖTALANDS LÄN</t>
        </is>
      </c>
      <c r="G591" t="inlineStr">
        <is>
          <t>ULRICEHAMN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58204-2023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45250</v>
      </c>
      <c r="E592" s="1" t="n">
        <v>46268</v>
      </c>
      <c r="F592" t="inlineStr">
        <is>
          <t>VÄSTRA GÖTALANDS LÄN</t>
        </is>
      </c>
      <c r="G592" t="inlineStr">
        <is>
          <t>ULRICEHAMN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45775</v>
      </c>
      <c r="E593" s="1" t="n">
        <v>46268</v>
      </c>
      <c r="F593" t="inlineStr">
        <is>
          <t>VÄSTRA GÖTALANDS LÄN</t>
        </is>
      </c>
      <c r="G593" t="inlineStr">
        <is>
          <t>ULRICEHAMN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28888-2023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45104</v>
      </c>
      <c r="E594" s="1" t="n">
        <v>46268</v>
      </c>
      <c r="F594" t="inlineStr">
        <is>
          <t>VÄSTRA GÖTALANDS LÄN</t>
        </is>
      </c>
      <c r="G594" t="inlineStr">
        <is>
          <t>ULRICEHAMN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14038-2023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45008</v>
      </c>
      <c r="E595" s="1" t="n">
        <v>46268</v>
      </c>
      <c r="F595" t="inlineStr">
        <is>
          <t>VÄSTRA GÖTALANDS LÄN</t>
        </is>
      </c>
      <c r="G595" t="inlineStr">
        <is>
          <t>ULRICEHAMN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30664-2022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46268</v>
      </c>
      <c r="F596" t="inlineStr">
        <is>
          <t>VÄSTRA GÖTALANDS LÄN</t>
        </is>
      </c>
      <c r="G596" t="inlineStr">
        <is>
          <t>ULRICEHAMN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4772-2024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45328</v>
      </c>
      <c r="E597" s="1" t="n">
        <v>46268</v>
      </c>
      <c r="F597" t="inlineStr">
        <is>
          <t>VÄSTRA GÖTALANDS LÄN</t>
        </is>
      </c>
      <c r="G597" t="inlineStr">
        <is>
          <t>ULRICEHAMN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46268</v>
      </c>
      <c r="F598" t="inlineStr">
        <is>
          <t>VÄSTRA GÖTALANDS LÄN</t>
        </is>
      </c>
      <c r="G598" t="inlineStr">
        <is>
          <t>ULRICEHAMN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46232</v>
      </c>
      <c r="E599" s="1" t="n">
        <v>46268</v>
      </c>
      <c r="F599" t="inlineStr">
        <is>
          <t>VÄSTRA GÖTALANDS LÄN</t>
        </is>
      </c>
      <c r="G599" t="inlineStr">
        <is>
          <t>ULRICEHAMN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45086</v>
      </c>
      <c r="E600" s="1" t="n">
        <v>46268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39762-2024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46268</v>
      </c>
      <c r="F601" t="inlineStr">
        <is>
          <t>VÄSTRA GÖTALANDS LÄN</t>
        </is>
      </c>
      <c r="G601" t="inlineStr">
        <is>
          <t>ULRICEHAMN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39763-2024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45552</v>
      </c>
      <c r="E602" s="1" t="n">
        <v>46268</v>
      </c>
      <c r="F602" t="inlineStr">
        <is>
          <t>VÄSTRA GÖTALANDS LÄN</t>
        </is>
      </c>
      <c r="G602" t="inlineStr">
        <is>
          <t>ULRICEHAMN</t>
        </is>
      </c>
      <c r="I602" t="n">
        <v>6.7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27824-2026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46268</v>
      </c>
      <c r="F603" t="inlineStr">
        <is>
          <t>VÄSTRA GÖTALANDS LÄN</t>
        </is>
      </c>
      <c r="G603" t="inlineStr">
        <is>
          <t>ULRICEHAMN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45139</v>
      </c>
      <c r="E604" s="1" t="n">
        <v>46268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45408</v>
      </c>
      <c r="E605" s="1" t="n">
        <v>46268</v>
      </c>
      <c r="F605" t="inlineStr">
        <is>
          <t>VÄSTRA GÖTALANDS LÄN</t>
        </is>
      </c>
      <c r="G605" t="inlineStr">
        <is>
          <t>ULRICEHAMN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44735</v>
      </c>
      <c r="E606" s="1" t="n">
        <v>46268</v>
      </c>
      <c r="F606" t="inlineStr">
        <is>
          <t>VÄSTRA GÖTALANDS LÄN</t>
        </is>
      </c>
      <c r="G606" t="inlineStr">
        <is>
          <t>ULRICEHAMN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32332-2026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46238</v>
      </c>
      <c r="E607" s="1" t="n">
        <v>46268</v>
      </c>
      <c r="F607" t="inlineStr">
        <is>
          <t>VÄSTRA GÖTALANDS LÄN</t>
        </is>
      </c>
      <c r="G607" t="inlineStr">
        <is>
          <t>ULRICEHAMN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12401-2024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45379</v>
      </c>
      <c r="E608" s="1" t="n">
        <v>46268</v>
      </c>
      <c r="F608" t="inlineStr">
        <is>
          <t>VÄSTRA GÖTALANDS LÄN</t>
        </is>
      </c>
      <c r="G608" t="inlineStr">
        <is>
          <t>ULRICEHAMN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24922-2024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45461</v>
      </c>
      <c r="E609" s="1" t="n">
        <v>46268</v>
      </c>
      <c r="F609" t="inlineStr">
        <is>
          <t>VÄSTRA GÖTALANDS LÄN</t>
        </is>
      </c>
      <c r="G609" t="inlineStr">
        <is>
          <t>ULRICEHAMN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44301-2024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45573</v>
      </c>
      <c r="E610" s="1" t="n">
        <v>46268</v>
      </c>
      <c r="F610" t="inlineStr">
        <is>
          <t>VÄSTRA GÖTALANDS LÄN</t>
        </is>
      </c>
      <c r="G610" t="inlineStr">
        <is>
          <t>ULRICEHAMN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16895-2023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45033</v>
      </c>
      <c r="E611" s="1" t="n">
        <v>46268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38182-2023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45161</v>
      </c>
      <c r="E612" s="1" t="n">
        <v>46268</v>
      </c>
      <c r="F612" t="inlineStr">
        <is>
          <t>VÄSTRA GÖTALANDS LÄN</t>
        </is>
      </c>
      <c r="G612" t="inlineStr">
        <is>
          <t>ULRICEHAMN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46240</v>
      </c>
      <c r="E613" s="1" t="n">
        <v>46268</v>
      </c>
      <c r="F613" t="inlineStr">
        <is>
          <t>VÄSTRA GÖTALANDS LÄN</t>
        </is>
      </c>
      <c r="G613" t="inlineStr">
        <is>
          <t>ULRICEHAMN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46268</v>
      </c>
      <c r="F614" t="inlineStr">
        <is>
          <t>VÄSTRA GÖTALANDS LÄN</t>
        </is>
      </c>
      <c r="G614" t="inlineStr">
        <is>
          <t>ULRICEHAMN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46268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12173-2024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45377</v>
      </c>
      <c r="E616" s="1" t="n">
        <v>46268</v>
      </c>
      <c r="F616" t="inlineStr">
        <is>
          <t>VÄSTRA GÖTALANDS LÄN</t>
        </is>
      </c>
      <c r="G616" t="inlineStr">
        <is>
          <t>ULRICEHAMN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44858</v>
      </c>
      <c r="E617" s="1" t="n">
        <v>46268</v>
      </c>
      <c r="F617" t="inlineStr">
        <is>
          <t>VÄSTRA GÖTALANDS LÄN</t>
        </is>
      </c>
      <c r="G617" t="inlineStr">
        <is>
          <t>ULRICEHAMN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45363</v>
      </c>
      <c r="E618" s="1" t="n">
        <v>46268</v>
      </c>
      <c r="F618" t="inlineStr">
        <is>
          <t>VÄSTRA GÖTALANDS LÄN</t>
        </is>
      </c>
      <c r="G618" t="inlineStr">
        <is>
          <t>ULRICEHAMN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46245</v>
      </c>
      <c r="E619" s="1" t="n">
        <v>46268</v>
      </c>
      <c r="F619" t="inlineStr">
        <is>
          <t>VÄSTRA GÖTALANDS LÄN</t>
        </is>
      </c>
      <c r="G619" t="inlineStr">
        <is>
          <t>ULRICEHAMN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27399-2024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46268</v>
      </c>
      <c r="F620" t="inlineStr">
        <is>
          <t>VÄSTRA GÖTALANDS LÄN</t>
        </is>
      </c>
      <c r="G620" t="inlineStr">
        <is>
          <t>ULRICEHAMN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48242-2024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45590</v>
      </c>
      <c r="E621" s="1" t="n">
        <v>46268</v>
      </c>
      <c r="F621" t="inlineStr">
        <is>
          <t>VÄSTRA GÖTALANDS LÄN</t>
        </is>
      </c>
      <c r="G621" t="inlineStr">
        <is>
          <t>ULRICEHAMN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44402-2024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45573</v>
      </c>
      <c r="E622" s="1" t="n">
        <v>46268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45227</v>
      </c>
      <c r="E623" s="1" t="n">
        <v>46268</v>
      </c>
      <c r="F623" t="inlineStr">
        <is>
          <t>VÄSTRA GÖTALANDS LÄN</t>
        </is>
      </c>
      <c r="G623" t="inlineStr">
        <is>
          <t>ULRICEHAMN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43943-2023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45187</v>
      </c>
      <c r="E624" s="1" t="n">
        <v>46268</v>
      </c>
      <c r="F624" t="inlineStr">
        <is>
          <t>VÄSTRA GÖTALANDS LÄN</t>
        </is>
      </c>
      <c r="G624" t="inlineStr">
        <is>
          <t>ULRICEHAMN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59990-2023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45257</v>
      </c>
      <c r="E625" s="1" t="n">
        <v>46268</v>
      </c>
      <c r="F625" t="inlineStr">
        <is>
          <t>VÄSTRA GÖTALANDS LÄN</t>
        </is>
      </c>
      <c r="G625" t="inlineStr">
        <is>
          <t>ULRICEHAMN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46268</v>
      </c>
      <c r="F626" t="inlineStr">
        <is>
          <t>VÄSTRA GÖTALANDS LÄN</t>
        </is>
      </c>
      <c r="G626" t="inlineStr">
        <is>
          <t>ULRICEHAMN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46268</v>
      </c>
      <c r="F627" t="inlineStr">
        <is>
          <t>VÄSTRA GÖTALANDS LÄN</t>
        </is>
      </c>
      <c r="G627" t="inlineStr">
        <is>
          <t>ULRICEHAMN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45408</v>
      </c>
      <c r="E628" s="1" t="n">
        <v>46268</v>
      </c>
      <c r="F628" t="inlineStr">
        <is>
          <t>VÄSTRA GÖTALANDS LÄN</t>
        </is>
      </c>
      <c r="G628" t="inlineStr">
        <is>
          <t>ULRICEHAMN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5471-2024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45332</v>
      </c>
      <c r="E629" s="1" t="n">
        <v>46268</v>
      </c>
      <c r="F629" t="inlineStr">
        <is>
          <t>VÄSTRA GÖTALANDS LÄN</t>
        </is>
      </c>
      <c r="G629" t="inlineStr">
        <is>
          <t>ULRICEHAMN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33890-2023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45134</v>
      </c>
      <c r="E630" s="1" t="n">
        <v>46268</v>
      </c>
      <c r="F630" t="inlineStr">
        <is>
          <t>VÄSTRA GÖTALANDS LÄN</t>
        </is>
      </c>
      <c r="G630" t="inlineStr">
        <is>
          <t>ULRICEHAMN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44593</v>
      </c>
      <c r="E631" s="1" t="n">
        <v>46268</v>
      </c>
      <c r="F631" t="inlineStr">
        <is>
          <t>VÄSTRA GÖTALANDS LÄN</t>
        </is>
      </c>
      <c r="G631" t="inlineStr">
        <is>
          <t>ULRICEHAMN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46268</v>
      </c>
      <c r="F632" t="inlineStr">
        <is>
          <t>VÄSTRA GÖTALANDS LÄN</t>
        </is>
      </c>
      <c r="G632" t="inlineStr">
        <is>
          <t>ULRICEHAMN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34278-2026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46268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56295-2023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45242</v>
      </c>
      <c r="E634" s="1" t="n">
        <v>46268</v>
      </c>
      <c r="F634" t="inlineStr">
        <is>
          <t>VÄSTRA GÖTALANDS LÄN</t>
        </is>
      </c>
      <c r="G634" t="inlineStr">
        <is>
          <t>ULRICEHAMN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34519-2026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46268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46255</v>
      </c>
      <c r="E636" s="1" t="n">
        <v>46268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37685-2022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44810</v>
      </c>
      <c r="E637" s="1" t="n">
        <v>46268</v>
      </c>
      <c r="F637" t="inlineStr">
        <is>
          <t>VÄSTRA GÖTALANDS LÄN</t>
        </is>
      </c>
      <c r="G637" t="inlineStr">
        <is>
          <t>ULRICEHAMN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19038-2024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45427</v>
      </c>
      <c r="E638" s="1" t="n">
        <v>46268</v>
      </c>
      <c r="F638" t="inlineStr">
        <is>
          <t>VÄSTRA GÖTALANDS LÄN</t>
        </is>
      </c>
      <c r="G638" t="inlineStr">
        <is>
          <t>ULRICEHAMN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57571-2023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45246</v>
      </c>
      <c r="E639" s="1" t="n">
        <v>46268</v>
      </c>
      <c r="F639" t="inlineStr">
        <is>
          <t>VÄSTRA GÖTALANDS LÄN</t>
        </is>
      </c>
      <c r="G639" t="inlineStr">
        <is>
          <t>ULRICEHAMN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34497-2026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46268</v>
      </c>
      <c r="F640" t="inlineStr">
        <is>
          <t>VÄSTRA GÖTALANDS LÄN</t>
        </is>
      </c>
      <c r="G640" t="inlineStr">
        <is>
          <t>ULRICEHAMN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34506-2026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46268</v>
      </c>
      <c r="F641" t="inlineStr">
        <is>
          <t>VÄSTRA GÖTALANDS LÄN</t>
        </is>
      </c>
      <c r="G641" t="inlineStr">
        <is>
          <t>ULRICEHAMN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46268</v>
      </c>
      <c r="F642" t="inlineStr">
        <is>
          <t>VÄSTRA GÖTALANDS LÄN</t>
        </is>
      </c>
      <c r="G642" t="inlineStr">
        <is>
          <t>ULRICEHAMN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63012-2023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45272</v>
      </c>
      <c r="E643" s="1" t="n">
        <v>46268</v>
      </c>
      <c r="F643" t="inlineStr">
        <is>
          <t>VÄSTRA GÖTALANDS LÄN</t>
        </is>
      </c>
      <c r="G643" t="inlineStr">
        <is>
          <t>ULRICEHAMN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46211</v>
      </c>
      <c r="E644" s="1" t="n">
        <v>46268</v>
      </c>
      <c r="F644" t="inlineStr">
        <is>
          <t>VÄSTRA GÖTALANDS LÄN</t>
        </is>
      </c>
      <c r="G644" t="inlineStr">
        <is>
          <t>ULRICEHAMN</t>
        </is>
      </c>
      <c r="I644" t="n">
        <v>10.8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46268</v>
      </c>
      <c r="F645" t="inlineStr">
        <is>
          <t>VÄSTRA GÖTALANDS LÄN</t>
        </is>
      </c>
      <c r="G645" t="inlineStr">
        <is>
          <t>ULRICEHAMN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31102-2026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46216</v>
      </c>
      <c r="E646" s="1" t="n">
        <v>46268</v>
      </c>
      <c r="F646" t="inlineStr">
        <is>
          <t>VÄSTRA GÖTALANDS LÄN</t>
        </is>
      </c>
      <c r="G646" t="inlineStr">
        <is>
          <t>ULRICEHAMN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33411-2026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46268</v>
      </c>
      <c r="F647" t="inlineStr">
        <is>
          <t>VÄSTRA GÖTALANDS LÄN</t>
        </is>
      </c>
      <c r="G647" t="inlineStr">
        <is>
          <t>ULRICEHAMN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25070-2023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45086</v>
      </c>
      <c r="E648" s="1" t="n">
        <v>46268</v>
      </c>
      <c r="F648" t="inlineStr">
        <is>
          <t>VÄSTRA GÖTALANDS LÄN</t>
        </is>
      </c>
      <c r="G648" t="inlineStr">
        <is>
          <t>ULRICEHAMN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46268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44565</v>
      </c>
      <c r="E650" s="1" t="n">
        <v>46268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30624-2026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46211</v>
      </c>
      <c r="E651" s="1" t="n">
        <v>46268</v>
      </c>
      <c r="F651" t="inlineStr">
        <is>
          <t>VÄSTRA GÖTALANDS LÄN</t>
        </is>
      </c>
      <c r="G651" t="inlineStr">
        <is>
          <t>ULRICEHAMN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51392-2024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45604</v>
      </c>
      <c r="E652" s="1" t="n">
        <v>46268</v>
      </c>
      <c r="F652" t="inlineStr">
        <is>
          <t>VÄSTRA GÖTALANDS LÄN</t>
        </is>
      </c>
      <c r="G652" t="inlineStr">
        <is>
          <t>ULRICEHAMN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22407-2023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45070</v>
      </c>
      <c r="E653" s="1" t="n">
        <v>46268</v>
      </c>
      <c r="F653" t="inlineStr">
        <is>
          <t>VÄSTRA GÖTALANDS LÄN</t>
        </is>
      </c>
      <c r="G653" t="inlineStr">
        <is>
          <t>ULRICEHAMN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12934-2022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44642</v>
      </c>
      <c r="E654" s="1" t="n">
        <v>46268</v>
      </c>
      <c r="F654" t="inlineStr">
        <is>
          <t>VÄSTRA GÖTALANDS LÄN</t>
        </is>
      </c>
      <c r="G654" t="inlineStr">
        <is>
          <t>ULRICEHAMN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46268</v>
      </c>
      <c r="F655" t="inlineStr">
        <is>
          <t>VÄSTRA GÖTALANDS LÄN</t>
        </is>
      </c>
      <c r="G655" t="inlineStr">
        <is>
          <t>ULRICEHAMN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46268</v>
      </c>
      <c r="F656" t="inlineStr">
        <is>
          <t>VÄSTRA GÖTALANDS LÄN</t>
        </is>
      </c>
      <c r="G656" t="inlineStr">
        <is>
          <t>ULRICEHAMN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35312-2026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46261</v>
      </c>
      <c r="E657" s="1" t="n">
        <v>46268</v>
      </c>
      <c r="F657" t="inlineStr">
        <is>
          <t>VÄSTRA GÖTALANDS LÄN</t>
        </is>
      </c>
      <c r="G657" t="inlineStr">
        <is>
          <t>ULRICEHAMN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63265-2023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45273</v>
      </c>
      <c r="E658" s="1" t="n">
        <v>46268</v>
      </c>
      <c r="F658" t="inlineStr">
        <is>
          <t>VÄSTRA GÖTALANDS LÄN</t>
        </is>
      </c>
      <c r="G658" t="inlineStr">
        <is>
          <t>ULRICEHAMN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20891-2023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45059</v>
      </c>
      <c r="E659" s="1" t="n">
        <v>46268</v>
      </c>
      <c r="F659" t="inlineStr">
        <is>
          <t>VÄSTRA GÖTALANDS LÄN</t>
        </is>
      </c>
      <c r="G659" t="inlineStr">
        <is>
          <t>ULRICEHAMN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45059</v>
      </c>
      <c r="E660" s="1" t="n">
        <v>46268</v>
      </c>
      <c r="F660" t="inlineStr">
        <is>
          <t>VÄSTRA GÖTALANDS LÄN</t>
        </is>
      </c>
      <c r="G660" t="inlineStr">
        <is>
          <t>ULRICEHAMN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40031-2023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45168</v>
      </c>
      <c r="E661" s="1" t="n">
        <v>46268</v>
      </c>
      <c r="F661" t="inlineStr">
        <is>
          <t>VÄSTRA GÖTALANDS LÄN</t>
        </is>
      </c>
      <c r="G661" t="inlineStr">
        <is>
          <t>ULRICEHAMN</t>
        </is>
      </c>
      <c r="I661" t="n">
        <v>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40035-2023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45168</v>
      </c>
      <c r="E662" s="1" t="n">
        <v>46268</v>
      </c>
      <c r="F662" t="inlineStr">
        <is>
          <t>VÄSTRA GÖTALANDS LÄN</t>
        </is>
      </c>
      <c r="G662" t="inlineStr">
        <is>
          <t>ULRICEHAMN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17870-2023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45038</v>
      </c>
      <c r="E663" s="1" t="n">
        <v>46268</v>
      </c>
      <c r="F663" t="inlineStr">
        <is>
          <t>VÄSTRA GÖTALANDS LÄN</t>
        </is>
      </c>
      <c r="G663" t="inlineStr">
        <is>
          <t>ULRICEHAMN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59985-2022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44909</v>
      </c>
      <c r="E664" s="1" t="n">
        <v>46268</v>
      </c>
      <c r="F664" t="inlineStr">
        <is>
          <t>VÄSTRA GÖTALANDS LÄN</t>
        </is>
      </c>
      <c r="G664" t="inlineStr">
        <is>
          <t>ULRICEHAMN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35538-2026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46262</v>
      </c>
      <c r="E665" s="1" t="n">
        <v>46268</v>
      </c>
      <c r="F665" t="inlineStr">
        <is>
          <t>VÄSTRA GÖTALANDS LÄN</t>
        </is>
      </c>
      <c r="G665" t="inlineStr">
        <is>
          <t>ULRICEHAMN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16275-2025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45750</v>
      </c>
      <c r="E666" s="1" t="n">
        <v>46268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15289-2025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45745</v>
      </c>
      <c r="E667" s="1" t="n">
        <v>46268</v>
      </c>
      <c r="F667" t="inlineStr">
        <is>
          <t>VÄSTRA GÖTALANDS LÄN</t>
        </is>
      </c>
      <c r="G667" t="inlineStr">
        <is>
          <t>ULRICEHAMN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31549-2026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46223</v>
      </c>
      <c r="E668" s="1" t="n">
        <v>46268</v>
      </c>
      <c r="F668" t="inlineStr">
        <is>
          <t>VÄSTRA GÖTALANDS LÄN</t>
        </is>
      </c>
      <c r="G668" t="inlineStr">
        <is>
          <t>ULRICEHAMN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52713-2023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45225</v>
      </c>
      <c r="E669" s="1" t="n">
        <v>46268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44967</v>
      </c>
      <c r="E670" s="1" t="n">
        <v>46268</v>
      </c>
      <c r="F670" t="inlineStr">
        <is>
          <t>VÄSTRA GÖTALANDS LÄN</t>
        </is>
      </c>
      <c r="G670" t="inlineStr">
        <is>
          <t>ULRICEHAMN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44967</v>
      </c>
      <c r="E671" s="1" t="n">
        <v>46268</v>
      </c>
      <c r="F671" t="inlineStr">
        <is>
          <t>VÄSTRA GÖTALANDS LÄN</t>
        </is>
      </c>
      <c r="G671" t="inlineStr">
        <is>
          <t>ULRICEHAMN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46267</v>
      </c>
      <c r="E672" s="1" t="n">
        <v>46268</v>
      </c>
      <c r="F672" t="inlineStr">
        <is>
          <t>VÄSTRA GÖTALANDS LÄN</t>
        </is>
      </c>
      <c r="G672" t="inlineStr">
        <is>
          <t>ULRICEHAMN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60409-2024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45643</v>
      </c>
      <c r="E673" s="1" t="n">
        <v>46268</v>
      </c>
      <c r="F673" t="inlineStr">
        <is>
          <t>VÄSTRA GÖTALANDS LÄN</t>
        </is>
      </c>
      <c r="G673" t="inlineStr">
        <is>
          <t>ULRICEHAMN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19758-2026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46268</v>
      </c>
      <c r="F674" t="inlineStr">
        <is>
          <t>VÄSTRA GÖTALANDS LÄN</t>
        </is>
      </c>
      <c r="G674" t="inlineStr">
        <is>
          <t>ULRICEHAMN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45041</v>
      </c>
      <c r="E675" s="1" t="n">
        <v>46268</v>
      </c>
      <c r="F675" t="inlineStr">
        <is>
          <t>VÄSTRA GÖTALANDS LÄN</t>
        </is>
      </c>
      <c r="G675" t="inlineStr">
        <is>
          <t>ULRICEHAMN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46223</v>
      </c>
      <c r="E676" s="1" t="n">
        <v>46268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Sveaskog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60992-2021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44497</v>
      </c>
      <c r="E677" s="1" t="n">
        <v>46268</v>
      </c>
      <c r="F677" t="inlineStr">
        <is>
          <t>VÄSTRA GÖTALANDS LÄN</t>
        </is>
      </c>
      <c r="G677" t="inlineStr">
        <is>
          <t>ULRICEHAMN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45090</v>
      </c>
      <c r="E678" s="1" t="n">
        <v>46268</v>
      </c>
      <c r="F678" t="inlineStr">
        <is>
          <t>VÄSTRA GÖTALANDS LÄN</t>
        </is>
      </c>
      <c r="G678" t="inlineStr">
        <is>
          <t>ULRICEHAMN</t>
        </is>
      </c>
      <c r="I678" t="n">
        <v>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49912-2021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44455</v>
      </c>
      <c r="E679" s="1" t="n">
        <v>46268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16577-2022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44672</v>
      </c>
      <c r="E680" s="1" t="n">
        <v>46268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48986-2023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45209</v>
      </c>
      <c r="E681" s="1" t="n">
        <v>46268</v>
      </c>
      <c r="F681" t="inlineStr">
        <is>
          <t>VÄSTRA GÖTALANDS LÄN</t>
        </is>
      </c>
      <c r="G681" t="inlineStr">
        <is>
          <t>ULRICEHAMN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31581-2026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46224</v>
      </c>
      <c r="E682" s="1" t="n">
        <v>46268</v>
      </c>
      <c r="F682" t="inlineStr">
        <is>
          <t>VÄSTRA GÖTALANDS LÄN</t>
        </is>
      </c>
      <c r="G682" t="inlineStr">
        <is>
          <t>ULRICEHAMN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46224</v>
      </c>
      <c r="E683" s="1" t="n">
        <v>46268</v>
      </c>
      <c r="F683" t="inlineStr">
        <is>
          <t>VÄSTRA GÖTALANDS LÄN</t>
        </is>
      </c>
      <c r="G683" t="inlineStr">
        <is>
          <t>ULRICEHAMN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44613</v>
      </c>
      <c r="E684" s="1" t="n">
        <v>46268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Sveaskog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38056-2024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46268</v>
      </c>
      <c r="F685" t="inlineStr">
        <is>
          <t>VÄSTRA GÖTALANDS LÄN</t>
        </is>
      </c>
      <c r="G685" t="inlineStr">
        <is>
          <t>ULRICEHAMN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31541-2026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46223</v>
      </c>
      <c r="E686" s="1" t="n">
        <v>46268</v>
      </c>
      <c r="F686" t="inlineStr">
        <is>
          <t>VÄSTRA GÖTALANDS LÄN</t>
        </is>
      </c>
      <c r="G686" t="inlineStr">
        <is>
          <t>ULRICEHAMN</t>
        </is>
      </c>
      <c r="H686" t="inlineStr">
        <is>
          <t>Sveaskog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45158</v>
      </c>
      <c r="E687" s="1" t="n">
        <v>46268</v>
      </c>
      <c r="F687" t="inlineStr">
        <is>
          <t>VÄSTRA GÖTALANDS LÄN</t>
        </is>
      </c>
      <c r="G687" t="inlineStr">
        <is>
          <t>ULRICEHAMN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46224</v>
      </c>
      <c r="E688" s="1" t="n">
        <v>46268</v>
      </c>
      <c r="F688" t="inlineStr">
        <is>
          <t>VÄSTRA GÖTALANDS LÄN</t>
        </is>
      </c>
      <c r="G688" t="inlineStr">
        <is>
          <t>ULRICEHAMN</t>
        </is>
      </c>
      <c r="H688" t="inlineStr">
        <is>
          <t>Kyrkan</t>
        </is>
      </c>
      <c r="I688" t="n">
        <v>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45428</v>
      </c>
      <c r="E689" s="1" t="n">
        <v>46268</v>
      </c>
      <c r="F689" t="inlineStr">
        <is>
          <t>VÄSTRA GÖTALANDS LÄN</t>
        </is>
      </c>
      <c r="G689" t="inlineStr">
        <is>
          <t>ULRICEHAMN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22304-2023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45070</v>
      </c>
      <c r="E690" s="1" t="n">
        <v>46268</v>
      </c>
      <c r="F690" t="inlineStr">
        <is>
          <t>VÄSTRA GÖTALANDS LÄN</t>
        </is>
      </c>
      <c r="G690" t="inlineStr">
        <is>
          <t>ULRICEHAMN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27255-2024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45471</v>
      </c>
      <c r="E691" s="1" t="n">
        <v>46268</v>
      </c>
      <c r="F691" t="inlineStr">
        <is>
          <t>VÄSTRA GÖTALANDS LÄN</t>
        </is>
      </c>
      <c r="G691" t="inlineStr">
        <is>
          <t>ULRICEHAMN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15180-2022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44658</v>
      </c>
      <c r="E692" s="1" t="n">
        <v>46268</v>
      </c>
      <c r="F692" t="inlineStr">
        <is>
          <t>VÄSTRA GÖTALANDS LÄN</t>
        </is>
      </c>
      <c r="G692" t="inlineStr">
        <is>
          <t>ULRICEHAMN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58560-2021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44488</v>
      </c>
      <c r="E693" s="1" t="n">
        <v>46268</v>
      </c>
      <c r="F693" t="inlineStr">
        <is>
          <t>VÄSTRA GÖTALANDS LÄN</t>
        </is>
      </c>
      <c r="G693" t="inlineStr">
        <is>
          <t>ULRICEHAMN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14911-2023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45015</v>
      </c>
      <c r="E694" s="1" t="n">
        <v>46268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45071</v>
      </c>
      <c r="E695" s="1" t="n">
        <v>46268</v>
      </c>
      <c r="F695" t="inlineStr">
        <is>
          <t>VÄSTRA GÖTALANDS LÄN</t>
        </is>
      </c>
      <c r="G695" t="inlineStr">
        <is>
          <t>ULRICEHAMN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55455-2023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45231</v>
      </c>
      <c r="E696" s="1" t="n">
        <v>46268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45782</v>
      </c>
      <c r="E697" s="1" t="n">
        <v>46268</v>
      </c>
      <c r="F697" t="inlineStr">
        <is>
          <t>VÄSTRA GÖTALANDS LÄN</t>
        </is>
      </c>
      <c r="G697" t="inlineStr">
        <is>
          <t>ULRICEHAMN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46268</v>
      </c>
      <c r="F698" t="inlineStr">
        <is>
          <t>VÄSTRA GÖTALANDS LÄN</t>
        </is>
      </c>
      <c r="G698" t="inlineStr">
        <is>
          <t>ULRICEHAMN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46268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45412</v>
      </c>
      <c r="E700" s="1" t="n">
        <v>46268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46268</v>
      </c>
      <c r="F701" t="inlineStr">
        <is>
          <t>VÄSTRA GÖTALANDS LÄN</t>
        </is>
      </c>
      <c r="G701" t="inlineStr">
        <is>
          <t>ULRICEHAMN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8368-2025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45709</v>
      </c>
      <c r="E702" s="1" t="n">
        <v>46268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46268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46268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45790</v>
      </c>
      <c r="E705" s="1" t="n">
        <v>46268</v>
      </c>
      <c r="F705" t="inlineStr">
        <is>
          <t>VÄSTRA GÖTALANDS LÄN</t>
        </is>
      </c>
      <c r="G705" t="inlineStr">
        <is>
          <t>ULRICEHAMN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24347-2025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45797</v>
      </c>
      <c r="E706" s="1" t="n">
        <v>46268</v>
      </c>
      <c r="F706" t="inlineStr">
        <is>
          <t>VÄSTRA GÖTALANDS LÄN</t>
        </is>
      </c>
      <c r="G706" t="inlineStr">
        <is>
          <t>ULRICEHAMN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24901-2025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45799</v>
      </c>
      <c r="E707" s="1" t="n">
        <v>46268</v>
      </c>
      <c r="F707" t="inlineStr">
        <is>
          <t>VÄSTRA GÖTALANDS LÄN</t>
        </is>
      </c>
      <c r="G707" t="inlineStr">
        <is>
          <t>ULRICEHAMN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46268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46268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46268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46268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46268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46268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46268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46268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46268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46268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46268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46268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2026-09-03T02:09:44Z</dcterms:created>
  <dcterms:modified xmlns:dcterms="http://purl.org/dc/terms/" xmlns:xsi="http://www.w3.org/2001/XMLSchema-instance" xsi:type="dcterms:W3CDTF">2026-09-03T02:09:45Z</dcterms:modified>
</cp:coreProperties>
</file>