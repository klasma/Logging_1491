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45801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45801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45801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45801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45801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45801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5136-2020</t>
        </is>
      </c>
      <c r="B8" s="1" t="n">
        <v>43860</v>
      </c>
      <c r="C8" s="1" t="n">
        <v>45801</v>
      </c>
      <c r="D8" t="inlineStr">
        <is>
          <t>VÄSTRA GÖTALANDS LÄN</t>
        </is>
      </c>
      <c r="E8" t="inlineStr">
        <is>
          <t>ULRICEHAMN</t>
        </is>
      </c>
      <c r="F8" t="inlineStr">
        <is>
          <t>Sveaskog</t>
        </is>
      </c>
      <c r="G8" t="n">
        <v>2.7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Västlig hakmossa</t>
        </is>
      </c>
      <c r="S8">
        <f>HYPERLINK("https://klasma.github.io/Logging_1491/artfynd/A 5136-2020 artfynd.xlsx", "A 5136-2020")</f>
        <v/>
      </c>
      <c r="T8">
        <f>HYPERLINK("https://klasma.github.io/Logging_1491/kartor/A 5136-2020 karta.png", "A 5136-2020")</f>
        <v/>
      </c>
      <c r="V8">
        <f>HYPERLINK("https://klasma.github.io/Logging_1491/klagomål/A 5136-2020 FSC-klagomål.docx", "A 5136-2020")</f>
        <v/>
      </c>
      <c r="W8">
        <f>HYPERLINK("https://klasma.github.io/Logging_1491/klagomålsmail/A 5136-2020 FSC-klagomål mail.docx", "A 5136-2020")</f>
        <v/>
      </c>
      <c r="X8">
        <f>HYPERLINK("https://klasma.github.io/Logging_1491/tillsyn/A 5136-2020 tillsynsbegäran.docx", "A 5136-2020")</f>
        <v/>
      </c>
      <c r="Y8">
        <f>HYPERLINK("https://klasma.github.io/Logging_1491/tillsynsmail/A 5136-2020 tillsynsbegäran mail.docx", "A 5136-2020")</f>
        <v/>
      </c>
    </row>
    <row r="9" ht="15" customHeight="1">
      <c r="A9" t="inlineStr">
        <is>
          <t>A 5148-2020</t>
        </is>
      </c>
      <c r="B9" s="1" t="n">
        <v>43860</v>
      </c>
      <c r="C9" s="1" t="n">
        <v>45801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3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5148-2020 artfynd.xlsx", "A 5148-2020")</f>
        <v/>
      </c>
      <c r="T9">
        <f>HYPERLINK("https://klasma.github.io/Logging_1491/kartor/A 5148-2020 karta.png", "A 5148-2020")</f>
        <v/>
      </c>
      <c r="V9">
        <f>HYPERLINK("https://klasma.github.io/Logging_1491/klagomål/A 5148-2020 FSC-klagomål.docx", "A 5148-2020")</f>
        <v/>
      </c>
      <c r="W9">
        <f>HYPERLINK("https://klasma.github.io/Logging_1491/klagomålsmail/A 5148-2020 FSC-klagomål mail.docx", "A 5148-2020")</f>
        <v/>
      </c>
      <c r="X9">
        <f>HYPERLINK("https://klasma.github.io/Logging_1491/tillsyn/A 5148-2020 tillsynsbegäran.docx", "A 5148-2020")</f>
        <v/>
      </c>
      <c r="Y9">
        <f>HYPERLINK("https://klasma.github.io/Logging_1491/tillsynsmail/A 5148-2020 tillsynsbegäran mail.docx", "A 5148-2020")</f>
        <v/>
      </c>
    </row>
    <row r="10" ht="15" customHeight="1">
      <c r="A10" t="inlineStr">
        <is>
          <t>A 53041-2020</t>
        </is>
      </c>
      <c r="B10" s="1" t="n">
        <v>44120</v>
      </c>
      <c r="C10" s="1" t="n">
        <v>45801</v>
      </c>
      <c r="D10" t="inlineStr">
        <is>
          <t>VÄSTRA GÖTALANDS LÄN</t>
        </is>
      </c>
      <c r="E10" t="inlineStr">
        <is>
          <t>ULRICEHAMN</t>
        </is>
      </c>
      <c r="G10" t="n">
        <v>17.6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Nordfladdermus</t>
        </is>
      </c>
      <c r="S10">
        <f>HYPERLINK("https://klasma.github.io/Logging_1491/artfynd/A 53041-2020 artfynd.xlsx", "A 53041-2020")</f>
        <v/>
      </c>
      <c r="T10">
        <f>HYPERLINK("https://klasma.github.io/Logging_1491/kartor/A 53041-2020 karta.png", "A 53041-2020")</f>
        <v/>
      </c>
      <c r="V10">
        <f>HYPERLINK("https://klasma.github.io/Logging_1491/klagomål/A 53041-2020 FSC-klagomål.docx", "A 53041-2020")</f>
        <v/>
      </c>
      <c r="W10">
        <f>HYPERLINK("https://klasma.github.io/Logging_1491/klagomålsmail/A 53041-2020 FSC-klagomål mail.docx", "A 53041-2020")</f>
        <v/>
      </c>
      <c r="X10">
        <f>HYPERLINK("https://klasma.github.io/Logging_1491/tillsyn/A 53041-2020 tillsynsbegäran.docx", "A 53041-2020")</f>
        <v/>
      </c>
      <c r="Y10">
        <f>HYPERLINK("https://klasma.github.io/Logging_1491/tillsynsmail/A 53041-2020 tillsynsbegäran mail.docx", "A 53041-2020")</f>
        <v/>
      </c>
    </row>
    <row r="11" ht="15" customHeight="1">
      <c r="A11" t="inlineStr">
        <is>
          <t>A 48150-2021</t>
        </is>
      </c>
      <c r="B11" s="1" t="n">
        <v>44449</v>
      </c>
      <c r="C11" s="1" t="n">
        <v>45801</v>
      </c>
      <c r="D11" t="inlineStr">
        <is>
          <t>VÄSTRA GÖTALANDS LÄN</t>
        </is>
      </c>
      <c r="E11" t="inlineStr">
        <is>
          <t>ULRICEHAMN</t>
        </is>
      </c>
      <c r="F11" t="inlineStr">
        <is>
          <t>Sveaskog</t>
        </is>
      </c>
      <c r="G11" t="n">
        <v>0.4</v>
      </c>
      <c r="H11" t="n">
        <v>0</v>
      </c>
      <c r="I11" t="n">
        <v>0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Ask</t>
        </is>
      </c>
      <c r="S11">
        <f>HYPERLINK("https://klasma.github.io/Logging_1491/artfynd/A 48150-2021 artfynd.xlsx", "A 48150-2021")</f>
        <v/>
      </c>
      <c r="T11">
        <f>HYPERLINK("https://klasma.github.io/Logging_1491/kartor/A 48150-2021 karta.png", "A 48150-2021")</f>
        <v/>
      </c>
      <c r="V11">
        <f>HYPERLINK("https://klasma.github.io/Logging_1491/klagomål/A 48150-2021 FSC-klagomål.docx", "A 48150-2021")</f>
        <v/>
      </c>
      <c r="W11">
        <f>HYPERLINK("https://klasma.github.io/Logging_1491/klagomålsmail/A 48150-2021 FSC-klagomål mail.docx", "A 48150-2021")</f>
        <v/>
      </c>
      <c r="X11">
        <f>HYPERLINK("https://klasma.github.io/Logging_1491/tillsyn/A 48150-2021 tillsynsbegäran.docx", "A 48150-2021")</f>
        <v/>
      </c>
      <c r="Y11">
        <f>HYPERLINK("https://klasma.github.io/Logging_1491/tillsynsmail/A 48150-2021 tillsynsbegäran mail.docx", "A 48150-2021")</f>
        <v/>
      </c>
    </row>
    <row r="12" ht="15" customHeight="1">
      <c r="A12" t="inlineStr">
        <is>
          <t>A 50555-2021</t>
        </is>
      </c>
      <c r="B12" s="1" t="n">
        <v>44455</v>
      </c>
      <c r="C12" s="1" t="n">
        <v>45801</v>
      </c>
      <c r="D12" t="inlineStr">
        <is>
          <t>VÄSTRA GÖTALANDS LÄN</t>
        </is>
      </c>
      <c r="E12" t="inlineStr">
        <is>
          <t>ULRICEHAMN</t>
        </is>
      </c>
      <c r="G12" t="n">
        <v>1.5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50555-2021 artfynd.xlsx", "A 50555-2021")</f>
        <v/>
      </c>
      <c r="T12">
        <f>HYPERLINK("https://klasma.github.io/Logging_1491/kartor/A 50555-2021 karta.png", "A 50555-2021")</f>
        <v/>
      </c>
      <c r="V12">
        <f>HYPERLINK("https://klasma.github.io/Logging_1491/klagomål/A 50555-2021 FSC-klagomål.docx", "A 50555-2021")</f>
        <v/>
      </c>
      <c r="W12">
        <f>HYPERLINK("https://klasma.github.io/Logging_1491/klagomålsmail/A 50555-2021 FSC-klagomål mail.docx", "A 50555-2021")</f>
        <v/>
      </c>
      <c r="X12">
        <f>HYPERLINK("https://klasma.github.io/Logging_1491/tillsyn/A 50555-2021 tillsynsbegäran.docx", "A 50555-2021")</f>
        <v/>
      </c>
      <c r="Y12">
        <f>HYPERLINK("https://klasma.github.io/Logging_1491/tillsynsmail/A 50555-2021 tillsynsbegäran mail.docx", "A 50555-2021")</f>
        <v/>
      </c>
    </row>
    <row r="13" ht="15" customHeight="1">
      <c r="A13" t="inlineStr">
        <is>
          <t>A 64810-2021</t>
        </is>
      </c>
      <c r="B13" s="1" t="n">
        <v>44512</v>
      </c>
      <c r="C13" s="1" t="n">
        <v>45801</v>
      </c>
      <c r="D13" t="inlineStr">
        <is>
          <t>VÄSTRA GÖTALANDS LÄN</t>
        </is>
      </c>
      <c r="E13" t="inlineStr">
        <is>
          <t>ULRICEHAMN</t>
        </is>
      </c>
      <c r="G13" t="n">
        <v>17.3</v>
      </c>
      <c r="H13" t="n">
        <v>1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Plattlummer</t>
        </is>
      </c>
      <c r="S13">
        <f>HYPERLINK("https://klasma.github.io/Logging_1491/artfynd/A 64810-2021 artfynd.xlsx", "A 64810-2021")</f>
        <v/>
      </c>
      <c r="T13">
        <f>HYPERLINK("https://klasma.github.io/Logging_1491/kartor/A 64810-2021 karta.png", "A 64810-2021")</f>
        <v/>
      </c>
      <c r="V13">
        <f>HYPERLINK("https://klasma.github.io/Logging_1491/klagomål/A 64810-2021 FSC-klagomål.docx", "A 64810-2021")</f>
        <v/>
      </c>
      <c r="W13">
        <f>HYPERLINK("https://klasma.github.io/Logging_1491/klagomålsmail/A 64810-2021 FSC-klagomål mail.docx", "A 64810-2021")</f>
        <v/>
      </c>
      <c r="X13">
        <f>HYPERLINK("https://klasma.github.io/Logging_1491/tillsyn/A 64810-2021 tillsynsbegäran.docx", "A 64810-2021")</f>
        <v/>
      </c>
      <c r="Y13">
        <f>HYPERLINK("https://klasma.github.io/Logging_1491/tillsynsmail/A 64810-2021 tillsynsbegäran mail.docx", "A 64810-2021")</f>
        <v/>
      </c>
    </row>
    <row r="14" ht="15" customHeight="1">
      <c r="A14" t="inlineStr">
        <is>
          <t>A 18959-2022</t>
        </is>
      </c>
      <c r="B14" s="1" t="n">
        <v>44690</v>
      </c>
      <c r="C14" s="1" t="n">
        <v>45801</v>
      </c>
      <c r="D14" t="inlineStr">
        <is>
          <t>VÄSTRA GÖTALANDS LÄN</t>
        </is>
      </c>
      <c r="E14" t="inlineStr">
        <is>
          <t>ULRICEHAMN</t>
        </is>
      </c>
      <c r="F14" t="inlineStr">
        <is>
          <t>Kommuner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Hasselmus</t>
        </is>
      </c>
      <c r="S14">
        <f>HYPERLINK("https://klasma.github.io/Logging_1491/artfynd/A 18959-2022 artfynd.xlsx", "A 18959-2022")</f>
        <v/>
      </c>
      <c r="T14">
        <f>HYPERLINK("https://klasma.github.io/Logging_1491/kartor/A 18959-2022 karta.png", "A 18959-2022")</f>
        <v/>
      </c>
      <c r="V14">
        <f>HYPERLINK("https://klasma.github.io/Logging_1491/klagomål/A 18959-2022 FSC-klagomål.docx", "A 18959-2022")</f>
        <v/>
      </c>
      <c r="W14">
        <f>HYPERLINK("https://klasma.github.io/Logging_1491/klagomålsmail/A 18959-2022 FSC-klagomål mail.docx", "A 18959-2022")</f>
        <v/>
      </c>
      <c r="X14">
        <f>HYPERLINK("https://klasma.github.io/Logging_1491/tillsyn/A 18959-2022 tillsynsbegäran.docx", "A 18959-2022")</f>
        <v/>
      </c>
      <c r="Y14">
        <f>HYPERLINK("https://klasma.github.io/Logging_1491/tillsynsmail/A 18959-2022 tillsynsbegäran mail.docx", "A 18959-2022")</f>
        <v/>
      </c>
    </row>
    <row r="15" ht="15" customHeight="1">
      <c r="A15" t="inlineStr">
        <is>
          <t>A 51770-2022</t>
        </is>
      </c>
      <c r="B15" s="1" t="n">
        <v>44872</v>
      </c>
      <c r="C15" s="1" t="n">
        <v>45801</v>
      </c>
      <c r="D15" t="inlineStr">
        <is>
          <t>VÄSTRA GÖTALANDS LÄN</t>
        </is>
      </c>
      <c r="E15" t="inlineStr">
        <is>
          <t>ULRICEHAMN</t>
        </is>
      </c>
      <c r="G15" t="n">
        <v>2.5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HYPERLINK("https://klasma.github.io/Logging_1491/artfynd/A 51770-2022 artfynd.xlsx", "A 51770-2022")</f>
        <v/>
      </c>
      <c r="T15">
        <f>HYPERLINK("https://klasma.github.io/Logging_1491/kartor/A 51770-2022 karta.png", "A 51770-2022")</f>
        <v/>
      </c>
      <c r="V15">
        <f>HYPERLINK("https://klasma.github.io/Logging_1491/klagomål/A 51770-2022 FSC-klagomål.docx", "A 51770-2022")</f>
        <v/>
      </c>
      <c r="W15">
        <f>HYPERLINK("https://klasma.github.io/Logging_1491/klagomålsmail/A 51770-2022 FSC-klagomål mail.docx", "A 51770-2022")</f>
        <v/>
      </c>
      <c r="X15">
        <f>HYPERLINK("https://klasma.github.io/Logging_1491/tillsyn/A 51770-2022 tillsynsbegäran.docx", "A 51770-2022")</f>
        <v/>
      </c>
      <c r="Y15">
        <f>HYPERLINK("https://klasma.github.io/Logging_1491/tillsynsmail/A 51770-2022 tillsynsbegäran mail.docx", "A 51770-2022")</f>
        <v/>
      </c>
    </row>
    <row r="16" ht="15" customHeight="1">
      <c r="A16" t="inlineStr">
        <is>
          <t>A 53555-2022</t>
        </is>
      </c>
      <c r="B16" s="1" t="n">
        <v>44879</v>
      </c>
      <c r="C16" s="1" t="n">
        <v>45801</v>
      </c>
      <c r="D16" t="inlineStr">
        <is>
          <t>VÄSTRA GÖTALANDS LÄN</t>
        </is>
      </c>
      <c r="E16" t="inlineStr">
        <is>
          <t>ULRICEHAMN</t>
        </is>
      </c>
      <c r="G16" t="n">
        <v>2.6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Ask</t>
        </is>
      </c>
      <c r="S16">
        <f>HYPERLINK("https://klasma.github.io/Logging_1491/artfynd/A 53555-2022 artfynd.xlsx", "A 53555-2022")</f>
        <v/>
      </c>
      <c r="T16">
        <f>HYPERLINK("https://klasma.github.io/Logging_1491/kartor/A 53555-2022 karta.png", "A 53555-2022")</f>
        <v/>
      </c>
      <c r="V16">
        <f>HYPERLINK("https://klasma.github.io/Logging_1491/klagomål/A 53555-2022 FSC-klagomål.docx", "A 53555-2022")</f>
        <v/>
      </c>
      <c r="W16">
        <f>HYPERLINK("https://klasma.github.io/Logging_1491/klagomålsmail/A 53555-2022 FSC-klagomål mail.docx", "A 53555-2022")</f>
        <v/>
      </c>
      <c r="X16">
        <f>HYPERLINK("https://klasma.github.io/Logging_1491/tillsyn/A 53555-2022 tillsynsbegäran.docx", "A 53555-2022")</f>
        <v/>
      </c>
      <c r="Y16">
        <f>HYPERLINK("https://klasma.github.io/Logging_1491/tillsynsmail/A 53555-2022 tillsynsbegäran mail.docx", "A 53555-2022")</f>
        <v/>
      </c>
    </row>
    <row r="17" ht="15" customHeight="1">
      <c r="A17" t="inlineStr">
        <is>
          <t>A 32276-2023</t>
        </is>
      </c>
      <c r="B17" s="1" t="n">
        <v>45120</v>
      </c>
      <c r="C17" s="1" t="n">
        <v>45801</v>
      </c>
      <c r="D17" t="inlineStr">
        <is>
          <t>VÄSTRA GÖTALANDS LÄN</t>
        </is>
      </c>
      <c r="E17" t="inlineStr">
        <is>
          <t>ULRICEHAMN</t>
        </is>
      </c>
      <c r="G17" t="n">
        <v>9.300000000000001</v>
      </c>
      <c r="H17" t="n">
        <v>1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Smalbladig lungört</t>
        </is>
      </c>
      <c r="S17">
        <f>HYPERLINK("https://klasma.github.io/Logging_1491/artfynd/A 32276-2023 artfynd.xlsx", "A 32276-2023")</f>
        <v/>
      </c>
      <c r="T17">
        <f>HYPERLINK("https://klasma.github.io/Logging_1491/kartor/A 32276-2023 karta.png", "A 32276-2023")</f>
        <v/>
      </c>
      <c r="V17">
        <f>HYPERLINK("https://klasma.github.io/Logging_1491/klagomål/A 32276-2023 FSC-klagomål.docx", "A 32276-2023")</f>
        <v/>
      </c>
      <c r="W17">
        <f>HYPERLINK("https://klasma.github.io/Logging_1491/klagomålsmail/A 32276-2023 FSC-klagomål mail.docx", "A 32276-2023")</f>
        <v/>
      </c>
      <c r="X17">
        <f>HYPERLINK("https://klasma.github.io/Logging_1491/tillsyn/A 32276-2023 tillsynsbegäran.docx", "A 32276-2023")</f>
        <v/>
      </c>
      <c r="Y17">
        <f>HYPERLINK("https://klasma.github.io/Logging_1491/tillsynsmail/A 32276-2023 tillsynsbegäran mail.docx", "A 32276-2023")</f>
        <v/>
      </c>
    </row>
    <row r="18" ht="15" customHeight="1">
      <c r="A18" t="inlineStr">
        <is>
          <t>A 34766-2023</t>
        </is>
      </c>
      <c r="B18" s="1" t="n">
        <v>45140</v>
      </c>
      <c r="C18" s="1" t="n">
        <v>45801</v>
      </c>
      <c r="D18" t="inlineStr">
        <is>
          <t>VÄSTRA GÖTALANDS LÄN</t>
        </is>
      </c>
      <c r="E18" t="inlineStr">
        <is>
          <t>ULRICEHAMN</t>
        </is>
      </c>
      <c r="G18" t="n">
        <v>17.6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Tibast</t>
        </is>
      </c>
      <c r="S18">
        <f>HYPERLINK("https://klasma.github.io/Logging_1491/artfynd/A 34766-2023 artfynd.xlsx", "A 34766-2023")</f>
        <v/>
      </c>
      <c r="T18">
        <f>HYPERLINK("https://klasma.github.io/Logging_1491/kartor/A 34766-2023 karta.png", "A 34766-2023")</f>
        <v/>
      </c>
      <c r="V18">
        <f>HYPERLINK("https://klasma.github.io/Logging_1491/klagomål/A 34766-2023 FSC-klagomål.docx", "A 34766-2023")</f>
        <v/>
      </c>
      <c r="W18">
        <f>HYPERLINK("https://klasma.github.io/Logging_1491/klagomålsmail/A 34766-2023 FSC-klagomål mail.docx", "A 34766-2023")</f>
        <v/>
      </c>
      <c r="X18">
        <f>HYPERLINK("https://klasma.github.io/Logging_1491/tillsyn/A 34766-2023 tillsynsbegäran.docx", "A 34766-2023")</f>
        <v/>
      </c>
      <c r="Y18">
        <f>HYPERLINK("https://klasma.github.io/Logging_1491/tillsynsmail/A 34766-2023 tillsynsbegäran mail.docx", "A 34766-2023")</f>
        <v/>
      </c>
    </row>
    <row r="19" ht="15" customHeight="1">
      <c r="A19" t="inlineStr">
        <is>
          <t>A 61199-2023</t>
        </is>
      </c>
      <c r="B19" s="1" t="n">
        <v>45264</v>
      </c>
      <c r="C19" s="1" t="n">
        <v>45801</v>
      </c>
      <c r="D19" t="inlineStr">
        <is>
          <t>VÄSTRA GÖTALANDS LÄN</t>
        </is>
      </c>
      <c r="E19" t="inlineStr">
        <is>
          <t>ULRICEHAMN</t>
        </is>
      </c>
      <c r="G19" t="n">
        <v>2.6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Ask</t>
        </is>
      </c>
      <c r="S19">
        <f>HYPERLINK("https://klasma.github.io/Logging_1491/artfynd/A 61199-2023 artfynd.xlsx", "A 61199-2023")</f>
        <v/>
      </c>
      <c r="T19">
        <f>HYPERLINK("https://klasma.github.io/Logging_1491/kartor/A 61199-2023 karta.png", "A 61199-2023")</f>
        <v/>
      </c>
      <c r="V19">
        <f>HYPERLINK("https://klasma.github.io/Logging_1491/klagomål/A 61199-2023 FSC-klagomål.docx", "A 61199-2023")</f>
        <v/>
      </c>
      <c r="W19">
        <f>HYPERLINK("https://klasma.github.io/Logging_1491/klagomålsmail/A 61199-2023 FSC-klagomål mail.docx", "A 61199-2023")</f>
        <v/>
      </c>
      <c r="X19">
        <f>HYPERLINK("https://klasma.github.io/Logging_1491/tillsyn/A 61199-2023 tillsynsbegäran.docx", "A 61199-2023")</f>
        <v/>
      </c>
      <c r="Y19">
        <f>HYPERLINK("https://klasma.github.io/Logging_1491/tillsynsmail/A 61199-2023 tillsynsbegäran mail.docx", "A 61199-2023")</f>
        <v/>
      </c>
    </row>
    <row r="20" ht="15" customHeight="1">
      <c r="A20" t="inlineStr">
        <is>
          <t>A 8055-2024</t>
        </is>
      </c>
      <c r="B20" s="1" t="n">
        <v>45351</v>
      </c>
      <c r="C20" s="1" t="n">
        <v>45801</v>
      </c>
      <c r="D20" t="inlineStr">
        <is>
          <t>VÄSTRA GÖTALANDS LÄN</t>
        </is>
      </c>
      <c r="E20" t="inlineStr">
        <is>
          <t>ULRICEHAMN</t>
        </is>
      </c>
      <c r="G20" t="n">
        <v>2.9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Hasselmus</t>
        </is>
      </c>
      <c r="S20">
        <f>HYPERLINK("https://klasma.github.io/Logging_1491/artfynd/A 8055-2024 artfynd.xlsx", "A 8055-2024")</f>
        <v/>
      </c>
      <c r="T20">
        <f>HYPERLINK("https://klasma.github.io/Logging_1491/kartor/A 8055-2024 karta.png", "A 8055-2024")</f>
        <v/>
      </c>
      <c r="V20">
        <f>HYPERLINK("https://klasma.github.io/Logging_1491/klagomål/A 8055-2024 FSC-klagomål.docx", "A 8055-2024")</f>
        <v/>
      </c>
      <c r="W20">
        <f>HYPERLINK("https://klasma.github.io/Logging_1491/klagomålsmail/A 8055-2024 FSC-klagomål mail.docx", "A 8055-2024")</f>
        <v/>
      </c>
      <c r="X20">
        <f>HYPERLINK("https://klasma.github.io/Logging_1491/tillsyn/A 8055-2024 tillsynsbegäran.docx", "A 8055-2024")</f>
        <v/>
      </c>
      <c r="Y20">
        <f>HYPERLINK("https://klasma.github.io/Logging_1491/tillsynsmail/A 8055-2024 tillsynsbegäran mail.docx", "A 8055-2024")</f>
        <v/>
      </c>
    </row>
    <row r="21" ht="15" customHeight="1">
      <c r="A21" t="inlineStr">
        <is>
          <t>A 8980-2024</t>
        </is>
      </c>
      <c r="B21" s="1" t="n">
        <v>45357</v>
      </c>
      <c r="C21" s="1" t="n">
        <v>45801</v>
      </c>
      <c r="D21" t="inlineStr">
        <is>
          <t>VÄSTRA GÖTALANDS LÄN</t>
        </is>
      </c>
      <c r="E21" t="inlineStr">
        <is>
          <t>ULRICEHAMN</t>
        </is>
      </c>
      <c r="F21" t="inlineStr">
        <is>
          <t>Sveaskog</t>
        </is>
      </c>
      <c r="G21" t="n">
        <v>4.5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Gröngöling</t>
        </is>
      </c>
      <c r="S21">
        <f>HYPERLINK("https://klasma.github.io/Logging_1491/artfynd/A 8980-2024 artfynd.xlsx", "A 8980-2024")</f>
        <v/>
      </c>
      <c r="T21">
        <f>HYPERLINK("https://klasma.github.io/Logging_1491/kartor/A 8980-2024 karta.png", "A 8980-2024")</f>
        <v/>
      </c>
      <c r="V21">
        <f>HYPERLINK("https://klasma.github.io/Logging_1491/klagomål/A 8980-2024 FSC-klagomål.docx", "A 8980-2024")</f>
        <v/>
      </c>
      <c r="W21">
        <f>HYPERLINK("https://klasma.github.io/Logging_1491/klagomålsmail/A 8980-2024 FSC-klagomål mail.docx", "A 8980-2024")</f>
        <v/>
      </c>
      <c r="X21">
        <f>HYPERLINK("https://klasma.github.io/Logging_1491/tillsyn/A 8980-2024 tillsynsbegäran.docx", "A 8980-2024")</f>
        <v/>
      </c>
      <c r="Y21">
        <f>HYPERLINK("https://klasma.github.io/Logging_1491/tillsynsmail/A 8980-2024 tillsynsbegäran mail.docx", "A 8980-2024")</f>
        <v/>
      </c>
      <c r="Z21">
        <f>HYPERLINK("https://klasma.github.io/Logging_1491/fåglar/A 8980-2024 prioriterade fågelarter.docx", "A 8980-2024")</f>
        <v/>
      </c>
    </row>
    <row r="22" ht="15" customHeight="1">
      <c r="A22" t="inlineStr">
        <is>
          <t>A 37049-2024</t>
        </is>
      </c>
      <c r="B22" s="1" t="n">
        <v>45539</v>
      </c>
      <c r="C22" s="1" t="n">
        <v>45801</v>
      </c>
      <c r="D22" t="inlineStr">
        <is>
          <t>VÄSTRA GÖTALANDS LÄN</t>
        </is>
      </c>
      <c r="E22" t="inlineStr">
        <is>
          <t>ULRICEHAMN</t>
        </is>
      </c>
      <c r="G22" t="n">
        <v>11.4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Hasselmus</t>
        </is>
      </c>
      <c r="S22">
        <f>HYPERLINK("https://klasma.github.io/Logging_1491/artfynd/A 37049-2024 artfynd.xlsx", "A 37049-2024")</f>
        <v/>
      </c>
      <c r="T22">
        <f>HYPERLINK("https://klasma.github.io/Logging_1491/kartor/A 37049-2024 karta.png", "A 37049-2024")</f>
        <v/>
      </c>
      <c r="V22">
        <f>HYPERLINK("https://klasma.github.io/Logging_1491/klagomål/A 37049-2024 FSC-klagomål.docx", "A 37049-2024")</f>
        <v/>
      </c>
      <c r="W22">
        <f>HYPERLINK("https://klasma.github.io/Logging_1491/klagomålsmail/A 37049-2024 FSC-klagomål mail.docx", "A 37049-2024")</f>
        <v/>
      </c>
      <c r="X22">
        <f>HYPERLINK("https://klasma.github.io/Logging_1491/tillsyn/A 37049-2024 tillsynsbegäran.docx", "A 37049-2024")</f>
        <v/>
      </c>
      <c r="Y22">
        <f>HYPERLINK("https://klasma.github.io/Logging_1491/tillsynsmail/A 37049-2024 tillsynsbegäran mail.docx", "A 37049-2024")</f>
        <v/>
      </c>
    </row>
    <row r="23" ht="15" customHeight="1">
      <c r="A23" t="inlineStr">
        <is>
          <t>A 42763-2024</t>
        </is>
      </c>
      <c r="B23" s="1" t="n">
        <v>45566</v>
      </c>
      <c r="C23" s="1" t="n">
        <v>45801</v>
      </c>
      <c r="D23" t="inlineStr">
        <is>
          <t>VÄSTRA GÖTALANDS LÄN</t>
        </is>
      </c>
      <c r="E23" t="inlineStr">
        <is>
          <t>ULRICEHAMN</t>
        </is>
      </c>
      <c r="F23" t="inlineStr">
        <is>
          <t>Sveaskog</t>
        </is>
      </c>
      <c r="G23" t="n">
        <v>5.3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42763-2024 artfynd.xlsx", "A 42763-2024")</f>
        <v/>
      </c>
      <c r="T23">
        <f>HYPERLINK("https://klasma.github.io/Logging_1491/kartor/A 42763-2024 karta.png", "A 42763-2024")</f>
        <v/>
      </c>
      <c r="V23">
        <f>HYPERLINK("https://klasma.github.io/Logging_1491/klagomål/A 42763-2024 FSC-klagomål.docx", "A 42763-2024")</f>
        <v/>
      </c>
      <c r="W23">
        <f>HYPERLINK("https://klasma.github.io/Logging_1491/klagomålsmail/A 42763-2024 FSC-klagomål mail.docx", "A 42763-2024")</f>
        <v/>
      </c>
      <c r="X23">
        <f>HYPERLINK("https://klasma.github.io/Logging_1491/tillsyn/A 42763-2024 tillsynsbegäran.docx", "A 42763-2024")</f>
        <v/>
      </c>
      <c r="Y23">
        <f>HYPERLINK("https://klasma.github.io/Logging_1491/tillsynsmail/A 42763-2024 tillsynsbegäran mail.docx", "A 42763-2024")</f>
        <v/>
      </c>
    </row>
    <row r="24" ht="15" customHeight="1">
      <c r="A24" t="inlineStr">
        <is>
          <t>A 21290-2025</t>
        </is>
      </c>
      <c r="B24" s="1" t="n">
        <v>45779</v>
      </c>
      <c r="C24" s="1" t="n">
        <v>45801</v>
      </c>
      <c r="D24" t="inlineStr">
        <is>
          <t>VÄSTRA GÖTALANDS LÄN</t>
        </is>
      </c>
      <c r="E24" t="inlineStr">
        <is>
          <t>ULRICEHAMN</t>
        </is>
      </c>
      <c r="G24" t="n">
        <v>2.2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Fällmossa</t>
        </is>
      </c>
      <c r="S24">
        <f>HYPERLINK("https://klasma.github.io/Logging_141491/artfynd/A 21290-2025 artfynd.xlsx", "A 21290-2025")</f>
        <v/>
      </c>
      <c r="T24">
        <f>HYPERLINK("https://klasma.github.io/Logging_141491/kartor/A 21290-2025 karta.png", "A 21290-2025")</f>
        <v/>
      </c>
      <c r="V24">
        <f>HYPERLINK("https://klasma.github.io/Logging_141491/klagomål/A 21290-2025 FSC-klagomål.docx", "A 21290-2025")</f>
        <v/>
      </c>
      <c r="W24">
        <f>HYPERLINK("https://klasma.github.io/Logging_141491/klagomålsmail/A 21290-2025 FSC-klagomål mail.docx", "A 21290-2025")</f>
        <v/>
      </c>
      <c r="X24">
        <f>HYPERLINK("https://klasma.github.io/Logging_141491/tillsyn/A 21290-2025 tillsynsbegäran.docx", "A 21290-2025")</f>
        <v/>
      </c>
      <c r="Y24">
        <f>HYPERLINK("https://klasma.github.io/Logging_141491/tillsynsmail/A 21290-2025 tillsynsbegäran mail.docx", "A 21290-2025")</f>
        <v/>
      </c>
    </row>
    <row r="25" ht="15" customHeight="1">
      <c r="A25" t="inlineStr">
        <is>
          <t>A 21672-2025</t>
        </is>
      </c>
      <c r="B25" s="1" t="n">
        <v>45783</v>
      </c>
      <c r="C25" s="1" t="n">
        <v>45801</v>
      </c>
      <c r="D25" t="inlineStr">
        <is>
          <t>VÄSTRA GÖTALANDS LÄN</t>
        </is>
      </c>
      <c r="E25" t="inlineStr">
        <is>
          <t>ULRICEHAMN</t>
        </is>
      </c>
      <c r="G25" t="n">
        <v>4.3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HYPERLINK("https://klasma.github.io/Logging_141491/artfynd/A 21672-2025 artfynd.xlsx", "A 21672-2025")</f>
        <v/>
      </c>
      <c r="T25">
        <f>HYPERLINK("https://klasma.github.io/Logging_141491/kartor/A 21672-2025 karta.png", "A 21672-2025")</f>
        <v/>
      </c>
      <c r="V25">
        <f>HYPERLINK("https://klasma.github.io/Logging_141491/klagomål/A 21672-2025 FSC-klagomål.docx", "A 21672-2025")</f>
        <v/>
      </c>
      <c r="W25">
        <f>HYPERLINK("https://klasma.github.io/Logging_141491/klagomålsmail/A 21672-2025 FSC-klagomål mail.docx", "A 21672-2025")</f>
        <v/>
      </c>
      <c r="X25">
        <f>HYPERLINK("https://klasma.github.io/Logging_141491/tillsyn/A 21672-2025 tillsynsbegäran.docx", "A 21672-2025")</f>
        <v/>
      </c>
      <c r="Y25">
        <f>HYPERLINK("https://klasma.github.io/Logging_141491/tillsynsmail/A 21672-2025 tillsynsbegäran mail.docx", "A 21672-2025")</f>
        <v/>
      </c>
      <c r="Z25">
        <f>HYPERLINK("https://klasma.github.io/Logging_141491/fåglar/A 21672-2025 prioriterade fågelarter.docx", "A 21672-2025")</f>
        <v/>
      </c>
    </row>
    <row r="26" ht="15" customHeight="1">
      <c r="A26" t="inlineStr">
        <is>
          <t>A 22060-2025</t>
        </is>
      </c>
      <c r="B26" s="1" t="n">
        <v>45785</v>
      </c>
      <c r="C26" s="1" t="n">
        <v>45801</v>
      </c>
      <c r="D26" t="inlineStr">
        <is>
          <t>VÄSTRA GÖTALANDS LÄN</t>
        </is>
      </c>
      <c r="E26" t="inlineStr">
        <is>
          <t>ULRICEHAMN</t>
        </is>
      </c>
      <c r="G26" t="n">
        <v>2.9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22060-2025 artfynd.xlsx", "A 22060-2025")</f>
        <v/>
      </c>
      <c r="T26">
        <f>HYPERLINK("https://klasma.github.io/Logging_141491/kartor/A 22060-2025 karta.png", "A 22060-2025")</f>
        <v/>
      </c>
      <c r="V26">
        <f>HYPERLINK("https://klasma.github.io/Logging_141491/klagomål/A 22060-2025 FSC-klagomål.docx", "A 22060-2025")</f>
        <v/>
      </c>
      <c r="W26">
        <f>HYPERLINK("https://klasma.github.io/Logging_141491/klagomålsmail/A 22060-2025 FSC-klagomål mail.docx", "A 22060-2025")</f>
        <v/>
      </c>
      <c r="X26">
        <f>HYPERLINK("https://klasma.github.io/Logging_141491/tillsyn/A 22060-2025 tillsynsbegäran.docx", "A 22060-2025")</f>
        <v/>
      </c>
      <c r="Y26">
        <f>HYPERLINK("https://klasma.github.io/Logging_141491/tillsynsmail/A 22060-2025 tillsynsbegäran mail.docx", "A 22060-2025")</f>
        <v/>
      </c>
      <c r="Z26">
        <f>HYPERLINK("https://klasma.github.io/Logging_141491/fåglar/A 22060-2025 prioriterade fågelarter.docx", "A 22060-2025")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45801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45801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45801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45801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45801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45801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45801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45801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45801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45801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45801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45801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45801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45801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45801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45801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45801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45801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45801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45801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45801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45801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45801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45801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45801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45801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45801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45801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45801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45801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45801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45801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45801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45801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45801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45801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45801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45801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45801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45801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45801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45801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45801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45801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45801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45801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45801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45801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45801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45801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45801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45801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45801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45801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45801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45801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45801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45801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45801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45801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45801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45801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45801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45801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45801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45801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45801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45801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45801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45801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45801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45801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45801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45801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45801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45801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45801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45801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45801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45801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45801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45801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45801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45801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45801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45801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45801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45801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45801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45801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45801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45801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45801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45801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45801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45801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45801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45801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45801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45801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45801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45801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45801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45801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45801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45801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45801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45801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45801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45801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45801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45801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45801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45801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45801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45801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45801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45801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45801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45801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45801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45801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45801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45801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45801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45801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45801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45801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45801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45801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45801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45801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45801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45801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45801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45801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45801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45801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45801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45801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45801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45801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45801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45801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45801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45801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45801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45801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45801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45801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45801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45801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45801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45801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45801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45801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45801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45801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45801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45801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45801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45801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45801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45801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45801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45801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45801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45801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45801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45801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45801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45801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45801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45801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45801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45801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45801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45801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45801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45801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45801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45801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45801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45801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45801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45801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45801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45801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45801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45801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45801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45801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45801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45801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45801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45801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45801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45801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45801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45801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45801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45801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45801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45801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45801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45801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45801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45801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45801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45801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45801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45801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45801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45801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45801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45801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45801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45801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45801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45801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45801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45801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45801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45801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45801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45801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45801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45801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45801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45801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45801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45801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45801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45801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45801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45801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45801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45801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45801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45801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45801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45801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45801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45801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45801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45801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45801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45801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45801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45801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45801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45801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45801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45801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45801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45801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45801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45801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45801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45801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45801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45801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45801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45801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45801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45801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45801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45801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45801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45801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45801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45801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45801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45801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45801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45801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45801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45801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45801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45801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45801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45801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45801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45801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45801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45801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45801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45801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45801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45801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45801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45801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45801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45801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45801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45801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45801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45801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45801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45801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45801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45801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45801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45801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45801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45801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45801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45801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45801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45801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45801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45801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45801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45801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45801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45801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45801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45801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45801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45801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45801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45801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45801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45801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45801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45801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45801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45801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45801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45801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45801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45801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45801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45801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45801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45801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45801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45801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45801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45801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45801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45801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45801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45801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45801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45801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45801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45801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45801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45801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45801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45801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45801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45801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45801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45801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45801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45801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45801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45801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45801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45801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45801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45801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45801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45801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45801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45801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45801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45801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45801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45801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45801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45801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45801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45801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45801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45801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45801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45801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45801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45801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45801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45801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45801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45801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45801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45801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45801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45801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45801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45801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45801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45801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45801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45801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45801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45801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45801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45801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45801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45801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45801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45801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45801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45801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45801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45801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45801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45801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45801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45801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45801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45801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45801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45801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45801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45801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45801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45801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45801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45801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45801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45801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45801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45801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45801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45801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45801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45801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45801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45801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45801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45801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45801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45801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45801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45801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45801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45801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45801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45801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45801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45801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45801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45801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45801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45801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45801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45801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45801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45801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45801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45801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45801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45801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45801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45801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45801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45801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45801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45801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45801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45801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45801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45801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45801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45801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45801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45801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45801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45801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45801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45801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45801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45801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45801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45801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45801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45801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45801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45801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45801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45801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45801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45801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45801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45801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45801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45801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45801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45801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45801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45801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45801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45801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45801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45801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45801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45801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45801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45801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45801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45801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45801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45801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45801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45801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45801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45801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45801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45801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45801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45801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45801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45801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45801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45801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45801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45801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45801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45801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45801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45801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45801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45801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45801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45801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45801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45801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45801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45801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45801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45801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45801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45801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45801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45801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45801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45801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45801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45801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45801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45801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45801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45801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45801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45801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45801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45801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45801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45801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45801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45801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45801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45801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45801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45801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45801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45801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45801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45801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45801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45801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45801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45801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45801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45801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45801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45801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45801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45801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45801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45801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45801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45801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45801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45801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45801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45801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45801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45801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45801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45801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45801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45801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45801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45801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45801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45801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45801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45801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45801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45801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45801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45801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45801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45801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45801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45801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45801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45801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45801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45801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45801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45801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45801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45801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45801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45801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45801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45801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45801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45801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45801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45801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45801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45801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45801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45801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45801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45801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45801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45801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45801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45801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45801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45801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45801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45801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45801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45801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45801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45801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45801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45801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45801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45801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45801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45801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45801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45801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45801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45801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45801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45801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45801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45801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45801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45801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45801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45801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45801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45801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45801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45801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45801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45801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45801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45801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45801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45801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45801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45801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45801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45801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45801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45801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45801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45801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45801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45801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45801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45801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45801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45801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45801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45801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45801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45801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45801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45801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45801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45801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45801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45801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45801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45801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45801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45801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45801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45801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45801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45801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45801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45801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45801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45801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45801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45801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45801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45801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45801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45801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45801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45801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45801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45801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45801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45801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45801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45801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45801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45801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45801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45801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45801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45801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45801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45801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45801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45801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45801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45801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45801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45801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45801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45801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45801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45801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45801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45801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45801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45801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45801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45801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45801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45801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45801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45801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45801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45801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45801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45801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45801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45801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45801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45801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45801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45801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45801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45801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45801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45801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45801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45801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45801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45801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45801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45801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45801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45801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45801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45801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45801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45801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45801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45801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45801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45801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45801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45801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45801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45801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45801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45801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45801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45801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45801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45801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45801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45801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45801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45801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45801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45801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45801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45801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45801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45801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45801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45801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45801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45801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45801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45801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45801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45801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45801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45801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45801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45801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45801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45801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45801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45801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45801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45801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45801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45801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45801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45801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45801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45801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45801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45801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45801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45801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45801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45801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45801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45801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45801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45801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45801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45801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45801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45801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45801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45801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45801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45801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45801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45801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45801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45801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45801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45801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45801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45801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45801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45801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45801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45801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45801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45801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45801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45801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45801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45801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45801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45801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45801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45801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45801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45801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45801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45801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45801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45801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45801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45801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45801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45801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45801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45801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45801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45801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45801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45801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45801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45801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45801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45801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45801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45801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45801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45801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45801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45801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45801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45801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45801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45801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45801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45801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45801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45801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45801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45801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45801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45801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45801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45801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45801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45801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45801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45801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45801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45801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45801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45801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45801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45801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45801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45801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45801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45801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45801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45801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45801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45801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45801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45801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45801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45801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45801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45801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45801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45801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45801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45801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45801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45801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45801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45801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45801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45801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45801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45801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45801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45801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45801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45801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45801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45801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45801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45801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45801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45801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45801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45801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45801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45801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45801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45801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45801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45801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45801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45801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45801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45801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45801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45801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45801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45801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45801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45801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45801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45801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45801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45801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45801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45801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45801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45801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45801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45801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45801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45801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45801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45801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45801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45801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45801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45801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45801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45801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45801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45801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45801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45801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45801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45801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45801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45801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45801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45801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45801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45801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45801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45801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45801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45801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45801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45801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45801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45801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45801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45801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45801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45801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45801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45801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45801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45801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45801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45801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45801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45801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45801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45801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45801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45801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45801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45801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45801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45801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45801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45801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45801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45801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45801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45801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45801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45801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45801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45801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45801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45801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45801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45801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45801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45801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45801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45801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45801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45801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45801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45801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45801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45801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45801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45801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45801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45801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45801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45801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45801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45801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45801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45801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45801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45801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45801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45801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45801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45801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45801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45801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45801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45801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45801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45801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45801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45801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45801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45801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45801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45801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45801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45801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45801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45801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45801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45801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45801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45801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45801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45801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45801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45801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45801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45801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45801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45801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45801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45801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45801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45801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45801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45801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45801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45801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45801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45801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45801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45801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45801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45801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45801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45801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45801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45801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45801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45801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45801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45801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45801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45801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45801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45801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45801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45801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45801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45801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45801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45801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45801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45801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45801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45801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45801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45801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45801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45801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45801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45801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45801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45801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45801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45801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45801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45801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45801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45801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45801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45801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45801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45801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45801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45801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45801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45801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45801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45801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45801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45801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45801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45801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45801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45801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45801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45801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45801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45801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45801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45801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45801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45801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45801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45801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45801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45801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45801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45801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45801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45801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45801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45801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45801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45801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45801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45801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45801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45801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45801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45801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45801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45801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45801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45801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45801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45801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45801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45801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45801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45801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45801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45801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45801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45801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45801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45801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45801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45801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45801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45801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45801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45801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45801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45801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45801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45801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45801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45801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45801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45801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45801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45801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45801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45801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45801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45801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45801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45801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45801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45801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45801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45801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45801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45801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45801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45801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45801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45801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45801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45801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45801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45801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45801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45801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45801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45801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45801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45801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45801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45801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45801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45801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45801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45801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45801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45801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45801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45801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45801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45801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45801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45801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45801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45801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45801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45801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45801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45801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45801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45801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45801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45801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45801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45801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45801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45801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45801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45801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45801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45801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45801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45801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45801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45801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45801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45801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45801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45801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45801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45801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45801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45801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45801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45801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45801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45801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45801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45801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45801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45801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45801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45801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45801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45801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45801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45801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45801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45801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45801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45801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45801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45801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45801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45801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45801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45801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45801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45801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45801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45801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45801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45801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45801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45801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45801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45801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45801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45801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45801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45801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45801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45801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45801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45801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45801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45801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45801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45801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45801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45801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45801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45801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45801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45801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45801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45801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45801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45801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45801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45801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45801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45801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45801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45801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45801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45801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45801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45801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45801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45801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45801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45801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45801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45801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45801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45801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45801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45801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45801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45801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45801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45801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45801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45801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45801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45801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45801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45801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45801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45801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45801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45801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45801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45801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45801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45801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45801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20593-2025</t>
        </is>
      </c>
      <c r="B1402" s="1" t="n">
        <v>45775</v>
      </c>
      <c r="C1402" s="1" t="n">
        <v>45801</v>
      </c>
      <c r="D1402" t="inlineStr">
        <is>
          <t>VÄSTRA GÖTALANDS LÄN</t>
        </is>
      </c>
      <c r="E1402" t="inlineStr">
        <is>
          <t>ULRICEHAMN</t>
        </is>
      </c>
      <c r="G1402" t="n">
        <v>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20465-2025</t>
        </is>
      </c>
      <c r="B1403" s="1" t="n">
        <v>45775</v>
      </c>
      <c r="C1403" s="1" t="n">
        <v>45801</v>
      </c>
      <c r="D1403" t="inlineStr">
        <is>
          <t>VÄSTRA GÖTALANDS LÄN</t>
        </is>
      </c>
      <c r="E1403" t="inlineStr">
        <is>
          <t>ULRICEHAMN</t>
        </is>
      </c>
      <c r="G1403" t="n">
        <v>3.3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45801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45801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45801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45801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45801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21918-2025</t>
        </is>
      </c>
      <c r="B1409" s="1" t="n">
        <v>45784</v>
      </c>
      <c r="C1409" s="1" t="n">
        <v>45801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21830-2025</t>
        </is>
      </c>
      <c r="B1410" s="1" t="n">
        <v>45784</v>
      </c>
      <c r="C1410" s="1" t="n">
        <v>45801</v>
      </c>
      <c r="D1410" t="inlineStr">
        <is>
          <t>VÄSTRA GÖTALANDS LÄN</t>
        </is>
      </c>
      <c r="E1410" t="inlineStr">
        <is>
          <t>ULRICEHAMN</t>
        </is>
      </c>
      <c r="G1410" t="n">
        <v>1.9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21831-2025</t>
        </is>
      </c>
      <c r="B1411" s="1" t="n">
        <v>45784</v>
      </c>
      <c r="C1411" s="1" t="n">
        <v>45801</v>
      </c>
      <c r="D1411" t="inlineStr">
        <is>
          <t>VÄSTRA GÖTALANDS LÄN</t>
        </is>
      </c>
      <c r="E1411" t="inlineStr">
        <is>
          <t>ULRICEHAMN</t>
        </is>
      </c>
      <c r="G1411" t="n">
        <v>1.4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22110-2025</t>
        </is>
      </c>
      <c r="B1412" s="1" t="n">
        <v>45785</v>
      </c>
      <c r="C1412" s="1" t="n">
        <v>45801</v>
      </c>
      <c r="D1412" t="inlineStr">
        <is>
          <t>VÄSTRA GÖTALANDS LÄN</t>
        </is>
      </c>
      <c r="E1412" t="inlineStr">
        <is>
          <t>ULRICEHAMN</t>
        </is>
      </c>
      <c r="G1412" t="n">
        <v>0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22152-2025</t>
        </is>
      </c>
      <c r="B1413" s="1" t="n">
        <v>45785</v>
      </c>
      <c r="C1413" s="1" t="n">
        <v>45801</v>
      </c>
      <c r="D1413" t="inlineStr">
        <is>
          <t>VÄSTRA GÖTALANDS LÄN</t>
        </is>
      </c>
      <c r="E1413" t="inlineStr">
        <is>
          <t>ULRICEHAMN</t>
        </is>
      </c>
      <c r="G1413" t="n">
        <v>2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45801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45801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45801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45801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45801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24301-2025</t>
        </is>
      </c>
      <c r="B1419" s="1" t="n">
        <v>45797</v>
      </c>
      <c r="C1419" s="1" t="n">
        <v>45801</v>
      </c>
      <c r="D1419" t="inlineStr">
        <is>
          <t>VÄSTRA GÖTALANDS LÄN</t>
        </is>
      </c>
      <c r="E1419" t="inlineStr">
        <is>
          <t>ULRICEHAMN</t>
        </is>
      </c>
      <c r="F1419" t="inlineStr">
        <is>
          <t>Sveaskog</t>
        </is>
      </c>
      <c r="G1419" t="n">
        <v>0.8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24283-2025</t>
        </is>
      </c>
      <c r="B1420" s="1" t="n">
        <v>45797</v>
      </c>
      <c r="C1420" s="1" t="n">
        <v>45801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1.8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24306-2025</t>
        </is>
      </c>
      <c r="B1421" s="1" t="n">
        <v>45797</v>
      </c>
      <c r="C1421" s="1" t="n">
        <v>45801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1.1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45801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24300-2025</t>
        </is>
      </c>
      <c r="B1423" s="1" t="n">
        <v>45797</v>
      </c>
      <c r="C1423" s="1" t="n">
        <v>45801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0.6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24347-2025</t>
        </is>
      </c>
      <c r="B1424" s="1" t="n">
        <v>45797</v>
      </c>
      <c r="C1424" s="1" t="n">
        <v>45801</v>
      </c>
      <c r="D1424" t="inlineStr">
        <is>
          <t>VÄSTRA GÖTALANDS LÄN</t>
        </is>
      </c>
      <c r="E1424" t="inlineStr">
        <is>
          <t>ULRICEHAMN</t>
        </is>
      </c>
      <c r="G1424" t="n">
        <v>0.4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24587-2025</t>
        </is>
      </c>
      <c r="B1425" s="1" t="n">
        <v>45798</v>
      </c>
      <c r="C1425" s="1" t="n">
        <v>45801</v>
      </c>
      <c r="D1425" t="inlineStr">
        <is>
          <t>VÄSTRA GÖTALANDS LÄN</t>
        </is>
      </c>
      <c r="E1425" t="inlineStr">
        <is>
          <t>ULRICEHAMN</t>
        </is>
      </c>
      <c r="G1425" t="n">
        <v>1.3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24700-2025</t>
        </is>
      </c>
      <c r="B1426" s="1" t="n">
        <v>45798</v>
      </c>
      <c r="C1426" s="1" t="n">
        <v>45801</v>
      </c>
      <c r="D1426" t="inlineStr">
        <is>
          <t>VÄSTRA GÖTALANDS LÄN</t>
        </is>
      </c>
      <c r="E1426" t="inlineStr">
        <is>
          <t>ULRICEHAMN</t>
        </is>
      </c>
      <c r="G1426" t="n">
        <v>4.6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24517-2025</t>
        </is>
      </c>
      <c r="B1427" s="1" t="n">
        <v>45798</v>
      </c>
      <c r="C1427" s="1" t="n">
        <v>45801</v>
      </c>
      <c r="D1427" t="inlineStr">
        <is>
          <t>VÄSTRA GÖTALANDS LÄN</t>
        </is>
      </c>
      <c r="E1427" t="inlineStr">
        <is>
          <t>ULRICEHAMN</t>
        </is>
      </c>
      <c r="G1427" t="n">
        <v>1.8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24524-2025</t>
        </is>
      </c>
      <c r="B1428" s="1" t="n">
        <v>45798</v>
      </c>
      <c r="C1428" s="1" t="n">
        <v>45801</v>
      </c>
      <c r="D1428" t="inlineStr">
        <is>
          <t>VÄSTRA GÖTALANDS LÄN</t>
        </is>
      </c>
      <c r="E1428" t="inlineStr">
        <is>
          <t>ULRICEHAMN</t>
        </is>
      </c>
      <c r="G1428" t="n">
        <v>1.2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24800-2025</t>
        </is>
      </c>
      <c r="B1429" s="1" t="n">
        <v>45799</v>
      </c>
      <c r="C1429" s="1" t="n">
        <v>45801</v>
      </c>
      <c r="D1429" t="inlineStr">
        <is>
          <t>VÄSTRA GÖTALANDS LÄN</t>
        </is>
      </c>
      <c r="E1429" t="inlineStr">
        <is>
          <t>ULRICEHAMN</t>
        </is>
      </c>
      <c r="G1429" t="n">
        <v>3.3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>
      <c r="A1430" t="inlineStr">
        <is>
          <t>A 24901-2025</t>
        </is>
      </c>
      <c r="B1430" s="1" t="n">
        <v>45799</v>
      </c>
      <c r="C1430" s="1" t="n">
        <v>45801</v>
      </c>
      <c r="D1430" t="inlineStr">
        <is>
          <t>VÄSTRA GÖTALANDS LÄN</t>
        </is>
      </c>
      <c r="E1430" t="inlineStr">
        <is>
          <t>ULRICEHAMN</t>
        </is>
      </c>
      <c r="G1430" t="n">
        <v>3.8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2025-05-24T18:23:30Z</dcterms:created>
  <dcterms:modified xmlns:dcterms="http://purl.org/dc/terms/" xmlns:xsi="http://www.w3.org/2001/XMLSchema-instance" xsi:type="dcterms:W3CDTF">2025-05-24T18:23:31Z</dcterms:modified>
</cp:coreProperties>
</file>