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46229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46229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46229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46229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46229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46229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46229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46229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46229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46229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46229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46229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46229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33885-2023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46229</v>
      </c>
      <c r="F23" t="inlineStr">
        <is>
          <t>VÄSTRA GÖTALANDS LÄN</t>
        </is>
      </c>
      <c r="G23" t="inlineStr">
        <is>
          <t>ULRICEHAMN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Gulvaxing</t>
        </is>
      </c>
      <c r="W23">
        <f>HYPERLINK("https://klasma.github.io/Logging_1491/artfynd/A 33885-2023 artfynd.xlsx", "A 33885-2023")</f>
        <v/>
      </c>
      <c r="X23">
        <f>HYPERLINK("https://klasma.github.io/Logging_1491/kartor/A 33885-2023 karta.png", "A 33885-2023")</f>
        <v/>
      </c>
      <c r="Y23">
        <f>HYPERLINK("https://klasma.github.io/Logging_1491/kartor_geotiff/A 33885-2023 georefererad karta.tif", "A 33885-2023")</f>
        <v/>
      </c>
      <c r="AA23">
        <f>HYPERLINK("https://klasma.github.io/Logging_1491/klagomål/A 33885-2023 FSC-klagomål.docx", "A 33885-2023")</f>
        <v/>
      </c>
      <c r="AB23">
        <f>HYPERLINK("https://klasma.github.io/Logging_1491/klagomålsmail/A 33885-2023 FSC-klagomål mail.docx", "A 33885-2023")</f>
        <v/>
      </c>
      <c r="AC23">
        <f>HYPERLINK("https://klasma.github.io/Logging_1491/tillsyn/A 33885-2023 tillsynsbegäran.docx", "A 33885-2023")</f>
        <v/>
      </c>
      <c r="AD23">
        <f>HYPERLINK("https://klasma.github.io/Logging_1491/tillsynsmail/A 33885-2023 tillsynsbegäran mail.docx", "A 33885-2023")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46229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46229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64810-2021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46229</v>
      </c>
      <c r="F26" t="inlineStr">
        <is>
          <t>VÄSTRA GÖTALANDS LÄN</t>
        </is>
      </c>
      <c r="G26" t="inlineStr">
        <is>
          <t>ULRICEHAMN</t>
        </is>
      </c>
      <c r="I26" t="n">
        <v>17.3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HYPERLINK("https://klasma.github.io/Logging_1491/artfynd/A 64810-2021 artfynd.xlsx", "A 64810-2021")</f>
        <v/>
      </c>
      <c r="X26">
        <f>HYPERLINK("https://klasma.github.io/Logging_1491/kartor/A 64810-2021 karta.png", "A 64810-2021")</f>
        <v/>
      </c>
      <c r="Y26">
        <f>HYPERLINK("https://klasma.github.io/Logging_1491/kartor_geotiff/A 64810-2021 georefererad karta.tif", "A 64810-2021")</f>
        <v/>
      </c>
      <c r="AA26">
        <f>HYPERLINK("https://klasma.github.io/Logging_1491/klagomål/A 64810-2021 FSC-klagomål.docx", "A 64810-2021")</f>
        <v/>
      </c>
      <c r="AB26">
        <f>HYPERLINK("https://klasma.github.io/Logging_1491/klagomålsmail/A 64810-2021 FSC-klagomål mail.docx", "A 64810-2021")</f>
        <v/>
      </c>
      <c r="AC26">
        <f>HYPERLINK("https://klasma.github.io/Logging_1491/tillsyn/A 64810-2021 tillsynsbegäran.docx", "A 64810-2021")</f>
        <v/>
      </c>
      <c r="AD26">
        <f>HYPERLINK("https://klasma.github.io/Logging_1491/tillsynsmail/A 64810-2021 tillsynsbegäran mail.docx", "A 64810-2021")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46229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37238-2025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46229</v>
      </c>
      <c r="F28" t="inlineStr">
        <is>
          <t>VÄSTRA GÖTALANDS LÄN</t>
        </is>
      </c>
      <c r="G28" t="inlineStr">
        <is>
          <t>ULRICEHAMN</t>
        </is>
      </c>
      <c r="I28" t="n">
        <v>7.6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37238-2025 artfynd.xlsx", "A 37238-2025")</f>
        <v/>
      </c>
      <c r="X28">
        <f>HYPERLINK("https://klasma.github.io/Logging_1491/kartor/A 37238-2025 karta.png", "A 37238-2025")</f>
        <v/>
      </c>
      <c r="Y28">
        <f>HYPERLINK("https://klasma.github.io/Logging_1491/kartor_geotiff/A 37238-2025 georefererad karta.tif", "A 37238-2025")</f>
        <v/>
      </c>
      <c r="AA28">
        <f>HYPERLINK("https://klasma.github.io/Logging_1491/klagomål/A 37238-2025 FSC-klagomål.docx", "A 37238-2025")</f>
        <v/>
      </c>
      <c r="AB28">
        <f>HYPERLINK("https://klasma.github.io/Logging_1491/klagomålsmail/A 37238-2025 FSC-klagomål mail.docx", "A 37238-2025")</f>
        <v/>
      </c>
      <c r="AC28">
        <f>HYPERLINK("https://klasma.github.io/Logging_1491/tillsyn/A 37238-2025 tillsynsbegäran.docx", "A 37238-2025")</f>
        <v/>
      </c>
      <c r="AD28">
        <f>HYPERLINK("https://klasma.github.io/Logging_1491/tillsynsmail/A 37238-2025 tillsynsbegäran mail.docx", "A 37238-2025")</f>
        <v/>
      </c>
    </row>
    <row r="29" ht="15" customHeight="1">
      <c r="A29" t="inlineStr">
        <is>
          <t>A 55007-2024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46229</v>
      </c>
      <c r="F29" t="inlineStr">
        <is>
          <t>VÄSTRA GÖTALANDS LÄN</t>
        </is>
      </c>
      <c r="G29" t="inlineStr">
        <is>
          <t>ULRICEHAMN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HYPERLINK("https://klasma.github.io/Logging_1491/artfynd/A 55007-2024 artfynd.xlsx", "A 55007-2024")</f>
        <v/>
      </c>
      <c r="X29">
        <f>HYPERLINK("https://klasma.github.io/Logging_1491/kartor/A 55007-2024 karta.png", "A 55007-2024")</f>
        <v/>
      </c>
      <c r="Y29">
        <f>HYPERLINK("https://klasma.github.io/Logging_1491/kartor_geotiff/A 55007-2024 georefererad karta.tif", "A 55007-2024")</f>
        <v/>
      </c>
      <c r="AA29">
        <f>HYPERLINK("https://klasma.github.io/Logging_1491/klagomål/A 55007-2024 FSC-klagomål.docx", "A 55007-2024")</f>
        <v/>
      </c>
      <c r="AB29">
        <f>HYPERLINK("https://klasma.github.io/Logging_1491/klagomålsmail/A 55007-2024 FSC-klagomål mail.docx", "A 55007-2024")</f>
        <v/>
      </c>
      <c r="AC29">
        <f>HYPERLINK("https://klasma.github.io/Logging_1491/tillsyn/A 55007-2024 tillsynsbegäran.docx", "A 55007-2024")</f>
        <v/>
      </c>
      <c r="AD29">
        <f>HYPERLINK("https://klasma.github.io/Logging_1491/tillsynsmail/A 55007-2024 tillsynsbegäran mail.docx", "A 55007-2024")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46229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46229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46229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46229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HYPERLINK("https://klasma.github.io/Logging_1491/artfynd/A 61536-2025 artfynd.xlsx", "A 61536-2025")</f>
        <v/>
      </c>
      <c r="X33">
        <f>HYPERLINK("https://klasma.github.io/Logging_1491/kartor/A 61536-2025 karta.png", "A 61536-2025")</f>
        <v/>
      </c>
      <c r="Y33">
        <f>HYPERLINK("https://klasma.github.io/Logging_1491/kartor_geotiff/A 61536-2025 georefererad karta.tif", "A 61536-2025")</f>
        <v/>
      </c>
      <c r="AA33">
        <f>HYPERLINK("https://klasma.github.io/Logging_1491/klagomål/A 61536-2025 FSC-klagomål.docx", "A 61536-2025")</f>
        <v/>
      </c>
      <c r="AB33">
        <f>HYPERLINK("https://klasma.github.io/Logging_1491/klagomålsmail/A 61536-2025 FSC-klagomål mail.docx", "A 61536-2025")</f>
        <v/>
      </c>
      <c r="AC33">
        <f>HYPERLINK("https://klasma.github.io/Logging_1491/tillsyn/A 61536-2025 tillsynsbegäran.docx", "A 61536-2025")</f>
        <v/>
      </c>
      <c r="AD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46229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HYPERLINK("https://klasma.github.io/Logging_1491/artfynd/A 62032-2025 artfynd.xlsx", "A 62032-2025")</f>
        <v/>
      </c>
      <c r="X34">
        <f>HYPERLINK("https://klasma.github.io/Logging_1491/kartor/A 62032-2025 karta.png", "A 62032-2025")</f>
        <v/>
      </c>
      <c r="Y34">
        <f>HYPERLINK("https://klasma.github.io/Logging_1491/kartor_geotiff/A 62032-2025 georefererad karta.tif", "A 62032-2025")</f>
        <v/>
      </c>
      <c r="AA34">
        <f>HYPERLINK("https://klasma.github.io/Logging_1491/klagomål/A 62032-2025 FSC-klagomål.docx", "A 62032-2025")</f>
        <v/>
      </c>
      <c r="AB34">
        <f>HYPERLINK("https://klasma.github.io/Logging_1491/klagomålsmail/A 62032-2025 FSC-klagomål mail.docx", "A 62032-2025")</f>
        <v/>
      </c>
      <c r="AC34">
        <f>HYPERLINK("https://klasma.github.io/Logging_1491/tillsyn/A 62032-2025 tillsynsbegäran.docx", "A 62032-2025")</f>
        <v/>
      </c>
      <c r="AD34">
        <f>HYPERLINK("https://klasma.github.io/Logging_1491/tillsynsmail/A 62032-2025 tillsynsbegäran mail.docx", "A 62032-2025")</f>
        <v/>
      </c>
    </row>
    <row r="35" ht="15" customHeight="1">
      <c r="A35" t="inlineStr">
        <is>
          <t>A 54903-2023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46229</v>
      </c>
      <c r="F35" t="inlineStr">
        <is>
          <t>VÄSTRA GÖTALANDS LÄN</t>
        </is>
      </c>
      <c r="G35" t="inlineStr">
        <is>
          <t>ULRICEHAMN</t>
        </is>
      </c>
      <c r="I35" t="n">
        <v>6.4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Trubbdaggkåpa</t>
        </is>
      </c>
      <c r="W35">
        <f>HYPERLINK("https://klasma.github.io/Logging_1491/artfynd/A 54903-2023 artfynd.xlsx", "A 54903-2023")</f>
        <v/>
      </c>
      <c r="X35">
        <f>HYPERLINK("https://klasma.github.io/Logging_1491/kartor/A 54903-2023 karta.png", "A 54903-2023")</f>
        <v/>
      </c>
      <c r="Y35">
        <f>HYPERLINK("https://klasma.github.io/Logging_1491/kartor_geotiff/A 54903-2023 georefererad karta.tif", "A 54903-2023")</f>
        <v/>
      </c>
      <c r="AA35">
        <f>HYPERLINK("https://klasma.github.io/Logging_1491/klagomål/A 54903-2023 FSC-klagomål.docx", "A 54903-2023")</f>
        <v/>
      </c>
      <c r="AB35">
        <f>HYPERLINK("https://klasma.github.io/Logging_1491/klagomålsmail/A 54903-2023 FSC-klagomål mail.docx", "A 54903-2023")</f>
        <v/>
      </c>
      <c r="AC35">
        <f>HYPERLINK("https://klasma.github.io/Logging_1491/tillsyn/A 54903-2023 tillsynsbegäran.docx", "A 54903-2023")</f>
        <v/>
      </c>
      <c r="AD35">
        <f>HYPERLINK("https://klasma.github.io/Logging_1491/tillsynsmail/A 54903-2023 tillsynsbegäran mail.docx", "A 54903-2023")</f>
        <v/>
      </c>
    </row>
    <row r="36" ht="15" customHeight="1">
      <c r="A36" t="inlineStr">
        <is>
          <t>A 6804-2026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46229</v>
      </c>
      <c r="F36" t="inlineStr">
        <is>
          <t>VÄSTRA GÖTALANDS LÄN</t>
        </is>
      </c>
      <c r="G36" t="inlineStr">
        <is>
          <t>ULRICEHAMN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HYPERLINK("https://klasma.github.io/Logging_1491/artfynd/A 6804-2026 artfynd.xlsx", "A 6804-2026")</f>
        <v/>
      </c>
      <c r="X36">
        <f>HYPERLINK("https://klasma.github.io/Logging_1491/kartor/A 6804-2026 karta.png", "A 6804-2026")</f>
        <v/>
      </c>
      <c r="Y36">
        <f>HYPERLINK("https://klasma.github.io/Logging_1491/kartor_geotiff/A 6804-2026 georefererad karta.tif", "A 6804-2026")</f>
        <v/>
      </c>
      <c r="AA36">
        <f>HYPERLINK("https://klasma.github.io/Logging_1491/klagomål/A 6804-2026 FSC-klagomål.docx", "A 6804-2026")</f>
        <v/>
      </c>
      <c r="AB36">
        <f>HYPERLINK("https://klasma.github.io/Logging_1491/klagomålsmail/A 6804-2026 FSC-klagomål mail.docx", "A 6804-2026")</f>
        <v/>
      </c>
      <c r="AC36">
        <f>HYPERLINK("https://klasma.github.io/Logging_1491/tillsyn/A 6804-2026 tillsynsbegäran.docx", "A 6804-2026")</f>
        <v/>
      </c>
      <c r="AD36">
        <f>HYPERLINK("https://klasma.github.io/Logging_1491/tillsynsmail/A 6804-2026 tillsynsbegäran mail.docx", "A 6804-2026")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46229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46229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46229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46229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46229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46229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46229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46229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46229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46229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46229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A 26380-2025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46229</v>
      </c>
      <c r="F48" t="inlineStr">
        <is>
          <t>VÄSTRA GÖTALANDS LÄN</t>
        </is>
      </c>
      <c r="G48" t="inlineStr">
        <is>
          <t>ULRICEHAMN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26380-2025 artfynd.xlsx", "A 26380-2025")</f>
        <v/>
      </c>
      <c r="X48">
        <f>HYPERLINK("https://klasma.github.io/Logging_1491/kartor/A 26380-2025 karta.png", "A 26380-2025")</f>
        <v/>
      </c>
      <c r="Y48">
        <f>HYPERLINK("https://klasma.github.io/Logging_1491/kartor_geotiff/A 26380-2025 georefererad karta.tif", "A 26380-2025")</f>
        <v/>
      </c>
      <c r="AA48">
        <f>HYPERLINK("https://klasma.github.io/Logging_1491/klagomål/A 26380-2025 FSC-klagomål.docx", "A 26380-2025")</f>
        <v/>
      </c>
      <c r="AB48">
        <f>HYPERLINK("https://klasma.github.io/Logging_1491/klagomålsmail/A 26380-2025 FSC-klagomål mail.docx", "A 26380-2025")</f>
        <v/>
      </c>
      <c r="AC48">
        <f>HYPERLINK("https://klasma.github.io/Logging_1491/tillsyn/A 26380-2025 tillsynsbegäran.docx", "A 26380-2025")</f>
        <v/>
      </c>
      <c r="AD48">
        <f>HYPERLINK("https://klasma.github.io/Logging_1491/tillsynsmail/A 26380-2025 tillsynsbegäran mail.docx", "A 26380-2025")</f>
        <v/>
      </c>
      <c r="AE48">
        <f>HYPERLINK("https://klasma.github.io/Logging_1491/fåglar/A 26380-2025 prioriterade fågelarter.docx", "A 26380-2025")</f>
        <v/>
      </c>
    </row>
    <row r="49" ht="15" customHeight="1">
      <c r="A49" t="inlineStr">
        <is>
          <t>A 26381-2025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45806</v>
      </c>
      <c r="E49" s="1" t="n">
        <v>46229</v>
      </c>
      <c r="F49" t="inlineStr">
        <is>
          <t>VÄSTRA GÖTALANDS LÄN</t>
        </is>
      </c>
      <c r="G49" t="inlineStr">
        <is>
          <t>ULRICEHAMN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HYPERLINK("https://klasma.github.io/Logging_1491/artfynd/A 26381-2025 artfynd.xlsx", "A 26381-2025")</f>
        <v/>
      </c>
      <c r="X49">
        <f>HYPERLINK("https://klasma.github.io/Logging_1491/kartor/A 26381-2025 karta.png", "A 26381-2025")</f>
        <v/>
      </c>
      <c r="Y49">
        <f>HYPERLINK("https://klasma.github.io/Logging_1491/kartor_geotiff/A 26381-2025 georefererad karta.tif", "A 26381-2025")</f>
        <v/>
      </c>
      <c r="AA49">
        <f>HYPERLINK("https://klasma.github.io/Logging_1491/klagomål/A 26381-2025 FSC-klagomål.docx", "A 26381-2025")</f>
        <v/>
      </c>
      <c r="AB49">
        <f>HYPERLINK("https://klasma.github.io/Logging_1491/klagomålsmail/A 26381-2025 FSC-klagomål mail.docx", "A 26381-2025")</f>
        <v/>
      </c>
      <c r="AC49">
        <f>HYPERLINK("https://klasma.github.io/Logging_1491/tillsyn/A 26381-2025 tillsynsbegäran.docx", "A 26381-2025")</f>
        <v/>
      </c>
      <c r="AD49">
        <f>HYPERLINK("https://klasma.github.io/Logging_1491/tillsynsmail/A 26381-2025 tillsynsbegäran mail.docx", "A 26381-2025")</f>
        <v/>
      </c>
      <c r="AE49">
        <f>HYPERLINK("https://klasma.github.io/Logging_1491/fåglar/A 26381-2025 prioriterade fågelarter.docx", "A 26381-2025")</f>
        <v/>
      </c>
    </row>
    <row r="50" ht="15" customHeight="1">
      <c r="A50" t="inlineStr">
        <is>
          <t>A 61199-2023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45264</v>
      </c>
      <c r="E50" s="1" t="n">
        <v>46229</v>
      </c>
      <c r="F50" t="inlineStr">
        <is>
          <t>VÄSTRA GÖTALANDS LÄN</t>
        </is>
      </c>
      <c r="G50" t="inlineStr">
        <is>
          <t>ULRICEHAMN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0</v>
      </c>
      <c r="V50" s="2" t="inlineStr">
        <is>
          <t>Ask</t>
        </is>
      </c>
      <c r="W50">
        <f>HYPERLINK("https://klasma.github.io/Logging_1491/artfynd/A 61199-2023 artfynd.xlsx", "A 61199-2023")</f>
        <v/>
      </c>
      <c r="X50">
        <f>HYPERLINK("https://klasma.github.io/Logging_1491/kartor/A 61199-2023 karta.png", "A 61199-2023")</f>
        <v/>
      </c>
      <c r="Y50">
        <f>HYPERLINK("https://klasma.github.io/Logging_1491/kartor_geotiff/A 61199-2023 georefererad karta.tif", "A 61199-2023")</f>
        <v/>
      </c>
      <c r="AA50">
        <f>HYPERLINK("https://klasma.github.io/Logging_1491/klagomål/A 61199-2023 FSC-klagomål.docx", "A 61199-2023")</f>
        <v/>
      </c>
      <c r="AB50">
        <f>HYPERLINK("https://klasma.github.io/Logging_1491/klagomålsmail/A 61199-2023 FSC-klagomål mail.docx", "A 61199-2023")</f>
        <v/>
      </c>
      <c r="AC50">
        <f>HYPERLINK("https://klasma.github.io/Logging_1491/tillsyn/A 61199-2023 tillsynsbegäran.docx", "A 61199-2023")</f>
        <v/>
      </c>
      <c r="AD50">
        <f>HYPERLINK("https://klasma.github.io/Logging_1491/tillsynsmail/A 61199-2023 tillsynsbegäran mail.docx", "A 61199-2023")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46229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46229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46229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46229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46229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46229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46229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46229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44679</v>
      </c>
      <c r="E59" s="1" t="n">
        <v>46229</v>
      </c>
      <c r="F59" t="inlineStr">
        <is>
          <t>VÄSTRA GÖTALANDS LÄN</t>
        </is>
      </c>
      <c r="G59" t="inlineStr">
        <is>
          <t>ULRICEHAMN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46229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46229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46229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46229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46229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46229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46229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46229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46229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46229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46229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46229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46229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46229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46229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46229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46229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46229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46229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46229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46229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46229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46229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46229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46229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46229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46229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46229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46229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46229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46229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46229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46229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46229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46229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46229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46229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46229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46229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46229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46229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46229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46229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46229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46229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46229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46229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46229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46229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46229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46229</v>
      </c>
      <c r="F110" t="inlineStr">
        <is>
          <t>VÄSTRA GÖTALANDS LÄN</t>
        </is>
      </c>
      <c r="G110" t="inlineStr">
        <is>
          <t>ULRICEHAMN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46229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46229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46229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46229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46229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46229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46229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46229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46229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46229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44439</v>
      </c>
      <c r="E121" s="1" t="n">
        <v>46229</v>
      </c>
      <c r="F121" t="inlineStr">
        <is>
          <t>VÄSTRA GÖTALANDS LÄN</t>
        </is>
      </c>
      <c r="G121" t="inlineStr">
        <is>
          <t>ULRICEHAMN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46229</v>
      </c>
      <c r="F122" t="inlineStr">
        <is>
          <t>VÄSTRA GÖTALANDS LÄN</t>
        </is>
      </c>
      <c r="G122" t="inlineStr">
        <is>
          <t>ULRICEHAMN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44772</v>
      </c>
      <c r="E123" s="1" t="n">
        <v>46229</v>
      </c>
      <c r="F123" t="inlineStr">
        <is>
          <t>VÄSTRA GÖTALANDS LÄN</t>
        </is>
      </c>
      <c r="G123" t="inlineStr">
        <is>
          <t>ULRICEHAMN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46229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46229</v>
      </c>
      <c r="F125" t="inlineStr">
        <is>
          <t>VÄSTRA GÖTALANDS LÄN</t>
        </is>
      </c>
      <c r="G125" t="inlineStr">
        <is>
          <t>ULRICEHAMN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45412</v>
      </c>
      <c r="E126" s="1" t="n">
        <v>46229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46229</v>
      </c>
      <c r="F127" t="inlineStr">
        <is>
          <t>VÄSTRA GÖTALANDS LÄN</t>
        </is>
      </c>
      <c r="G127" t="inlineStr">
        <is>
          <t>ULRICEHAMN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46229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46229</v>
      </c>
      <c r="F129" t="inlineStr">
        <is>
          <t>VÄSTRA GÖTALANDS LÄN</t>
        </is>
      </c>
      <c r="G129" t="inlineStr">
        <is>
          <t>ULRICEHAMN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46229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46229</v>
      </c>
      <c r="F131" t="inlineStr">
        <is>
          <t>VÄSTRA GÖTALANDS LÄN</t>
        </is>
      </c>
      <c r="G131" t="inlineStr">
        <is>
          <t>ULRICEHAMN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46229</v>
      </c>
      <c r="F132" t="inlineStr">
        <is>
          <t>VÄSTRA GÖTALANDS LÄN</t>
        </is>
      </c>
      <c r="G132" t="inlineStr">
        <is>
          <t>ULRICEHAMN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46229</v>
      </c>
      <c r="F133" t="inlineStr">
        <is>
          <t>VÄSTRA GÖTALANDS LÄN</t>
        </is>
      </c>
      <c r="G133" t="inlineStr">
        <is>
          <t>ULRICEHAMN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46229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46229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46229</v>
      </c>
      <c r="F136" t="inlineStr">
        <is>
          <t>VÄSTRA GÖTALANDS LÄN</t>
        </is>
      </c>
      <c r="G136" t="inlineStr">
        <is>
          <t>ULRICEHAMN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45585</v>
      </c>
      <c r="E137" s="1" t="n">
        <v>46229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46229</v>
      </c>
      <c r="F138" t="inlineStr">
        <is>
          <t>VÄSTRA GÖTALANDS LÄN</t>
        </is>
      </c>
      <c r="G138" t="inlineStr">
        <is>
          <t>ULRICEHAMN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46229</v>
      </c>
      <c r="F139" t="inlineStr">
        <is>
          <t>VÄSTRA GÖTALANDS LÄN</t>
        </is>
      </c>
      <c r="G139" t="inlineStr">
        <is>
          <t>ULRICEHAMN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46229</v>
      </c>
      <c r="F140" t="inlineStr">
        <is>
          <t>VÄSTRA GÖTALANDS LÄN</t>
        </is>
      </c>
      <c r="G140" t="inlineStr">
        <is>
          <t>ULRICEHAMN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46229</v>
      </c>
      <c r="F141" t="inlineStr">
        <is>
          <t>VÄSTRA GÖTALANDS LÄN</t>
        </is>
      </c>
      <c r="G141" t="inlineStr">
        <is>
          <t>ULRICEHAMN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44959</v>
      </c>
      <c r="E142" s="1" t="n">
        <v>46229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46229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46229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46229</v>
      </c>
      <c r="F145" t="inlineStr">
        <is>
          <t>VÄSTRA GÖTALANDS LÄN</t>
        </is>
      </c>
      <c r="G145" t="inlineStr">
        <is>
          <t>ULRICEHAMN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46229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46229</v>
      </c>
      <c r="F147" t="inlineStr">
        <is>
          <t>VÄSTRA GÖTALANDS LÄN</t>
        </is>
      </c>
      <c r="G147" t="inlineStr">
        <is>
          <t>ULRICEHAMN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44697</v>
      </c>
      <c r="E148" s="1" t="n">
        <v>46229</v>
      </c>
      <c r="F148" t="inlineStr">
        <is>
          <t>VÄSTRA GÖTALANDS LÄN</t>
        </is>
      </c>
      <c r="G148" t="inlineStr">
        <is>
          <t>ULRICEHAMN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44724</v>
      </c>
      <c r="E149" s="1" t="n">
        <v>46229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46229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46229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45344</v>
      </c>
      <c r="E152" s="1" t="n">
        <v>46229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46229</v>
      </c>
      <c r="F153" t="inlineStr">
        <is>
          <t>VÄSTRA GÖTALANDS LÄN</t>
        </is>
      </c>
      <c r="G153" t="inlineStr">
        <is>
          <t>ULRICEHAMN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46229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45314</v>
      </c>
      <c r="E155" s="1" t="n">
        <v>46229</v>
      </c>
      <c r="F155" t="inlineStr">
        <is>
          <t>VÄSTRA GÖTALANDS LÄN</t>
        </is>
      </c>
      <c r="G155" t="inlineStr">
        <is>
          <t>ULRICEHAMN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46229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46229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46229</v>
      </c>
      <c r="F158" t="inlineStr">
        <is>
          <t>VÄSTRA GÖTALANDS LÄN</t>
        </is>
      </c>
      <c r="G158" t="inlineStr">
        <is>
          <t>ULRICEHAMN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46229</v>
      </c>
      <c r="F159" t="inlineStr">
        <is>
          <t>VÄSTRA GÖTALANDS LÄN</t>
        </is>
      </c>
      <c r="G159" t="inlineStr">
        <is>
          <t>ULRICEHAMN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46229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46229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46229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46229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46229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46229</v>
      </c>
      <c r="F165" t="inlineStr">
        <is>
          <t>VÄSTRA GÖTALANDS LÄN</t>
        </is>
      </c>
      <c r="G165" t="inlineStr">
        <is>
          <t>ULRICEHAMN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45606</v>
      </c>
      <c r="E166" s="1" t="n">
        <v>46229</v>
      </c>
      <c r="F166" t="inlineStr">
        <is>
          <t>VÄSTRA GÖTALANDS LÄN</t>
        </is>
      </c>
      <c r="G166" t="inlineStr">
        <is>
          <t>ULRICEHAMN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46229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46229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46229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46229</v>
      </c>
      <c r="F170" t="inlineStr">
        <is>
          <t>VÄSTRA GÖTALANDS LÄN</t>
        </is>
      </c>
      <c r="G170" t="inlineStr">
        <is>
          <t>ULRICEHAMN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45227</v>
      </c>
      <c r="E171" s="1" t="n">
        <v>46229</v>
      </c>
      <c r="F171" t="inlineStr">
        <is>
          <t>VÄSTRA GÖTALANDS LÄN</t>
        </is>
      </c>
      <c r="G171" t="inlineStr">
        <is>
          <t>ULRICEHAMN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46229</v>
      </c>
      <c r="F172" t="inlineStr">
        <is>
          <t>VÄSTRA GÖTALANDS LÄN</t>
        </is>
      </c>
      <c r="G172" t="inlineStr">
        <is>
          <t>ULRICEHAMN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46229</v>
      </c>
      <c r="F173" t="inlineStr">
        <is>
          <t>VÄSTRA GÖTALANDS LÄN</t>
        </is>
      </c>
      <c r="G173" t="inlineStr">
        <is>
          <t>ULRICEHAMN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46229</v>
      </c>
      <c r="F174" t="inlineStr">
        <is>
          <t>VÄSTRA GÖTALANDS LÄN</t>
        </is>
      </c>
      <c r="G174" t="inlineStr">
        <is>
          <t>ULRICEHAMN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46229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38640-2023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45162</v>
      </c>
      <c r="E176" s="1" t="n">
        <v>46229</v>
      </c>
      <c r="F176" t="inlineStr">
        <is>
          <t>VÄSTRA GÖTALANDS LÄN</t>
        </is>
      </c>
      <c r="G176" t="inlineStr">
        <is>
          <t>ULRICEHAMN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45239</v>
      </c>
      <c r="E177" s="1" t="n">
        <v>46229</v>
      </c>
      <c r="F177" t="inlineStr">
        <is>
          <t>VÄSTRA GÖTALANDS LÄN</t>
        </is>
      </c>
      <c r="G177" t="inlineStr">
        <is>
          <t>ULRICEHAMN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46229</v>
      </c>
      <c r="F178" t="inlineStr">
        <is>
          <t>VÄSTRA GÖTALANDS LÄN</t>
        </is>
      </c>
      <c r="G178" t="inlineStr">
        <is>
          <t>ULRICEHAMN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46229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46229</v>
      </c>
      <c r="F180" t="inlineStr">
        <is>
          <t>VÄSTRA GÖTALANDS LÄN</t>
        </is>
      </c>
      <c r="G180" t="inlineStr">
        <is>
          <t>ULRICEHAMN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45598</v>
      </c>
      <c r="E181" s="1" t="n">
        <v>46229</v>
      </c>
      <c r="F181" t="inlineStr">
        <is>
          <t>VÄSTRA GÖTALANDS LÄN</t>
        </is>
      </c>
      <c r="G181" t="inlineStr">
        <is>
          <t>ULRICEHAMN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46229</v>
      </c>
      <c r="F182" t="inlineStr">
        <is>
          <t>VÄSTRA GÖTALANDS LÄN</t>
        </is>
      </c>
      <c r="G182" t="inlineStr">
        <is>
          <t>ULRICEHAMN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45482</v>
      </c>
      <c r="E183" s="1" t="n">
        <v>46229</v>
      </c>
      <c r="F183" t="inlineStr">
        <is>
          <t>VÄSTRA GÖTALANDS LÄN</t>
        </is>
      </c>
      <c r="G183" t="inlineStr">
        <is>
          <t>ULRICEHAMN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45334</v>
      </c>
      <c r="E184" s="1" t="n">
        <v>46229</v>
      </c>
      <c r="F184" t="inlineStr">
        <is>
          <t>VÄSTRA GÖTALANDS LÄN</t>
        </is>
      </c>
      <c r="G184" t="inlineStr">
        <is>
          <t>ULRICEHAMN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46229</v>
      </c>
      <c r="F185" t="inlineStr">
        <is>
          <t>VÄSTRA GÖTALANDS LÄN</t>
        </is>
      </c>
      <c r="G185" t="inlineStr">
        <is>
          <t>ULRICEHAMN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44566</v>
      </c>
      <c r="E186" s="1" t="n">
        <v>46229</v>
      </c>
      <c r="F186" t="inlineStr">
        <is>
          <t>VÄSTRA GÖTALANDS LÄN</t>
        </is>
      </c>
      <c r="G186" t="inlineStr">
        <is>
          <t>ULRICEHAMN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44929</v>
      </c>
      <c r="E187" s="1" t="n">
        <v>46229</v>
      </c>
      <c r="F187" t="inlineStr">
        <is>
          <t>VÄSTRA GÖTALANDS LÄN</t>
        </is>
      </c>
      <c r="G187" t="inlineStr">
        <is>
          <t>ULRICEHAMN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46229</v>
      </c>
      <c r="F188" t="inlineStr">
        <is>
          <t>VÄSTRA GÖTALANDS LÄN</t>
        </is>
      </c>
      <c r="G188" t="inlineStr">
        <is>
          <t>ULRICEHAMN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46229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46229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Kommuner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45518</v>
      </c>
      <c r="E191" s="1" t="n">
        <v>46229</v>
      </c>
      <c r="F191" t="inlineStr">
        <is>
          <t>VÄSTRA GÖTALANDS LÄN</t>
        </is>
      </c>
      <c r="G191" t="inlineStr">
        <is>
          <t>ULRICEHAMN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46229</v>
      </c>
      <c r="F192" t="inlineStr">
        <is>
          <t>VÄSTRA GÖTALANDS LÄN</t>
        </is>
      </c>
      <c r="G192" t="inlineStr">
        <is>
          <t>ULRICEHAMN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65872-2021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46229</v>
      </c>
      <c r="F193" t="inlineStr">
        <is>
          <t>VÄSTRA GÖTALANDS LÄN</t>
        </is>
      </c>
      <c r="G193" t="inlineStr">
        <is>
          <t>ULRICEHAMN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46229</v>
      </c>
      <c r="F194" t="inlineStr">
        <is>
          <t>VÄSTRA GÖTALANDS LÄN</t>
        </is>
      </c>
      <c r="G194" t="inlineStr">
        <is>
          <t>ULRICEHAMN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46229</v>
      </c>
      <c r="F195" t="inlineStr">
        <is>
          <t>VÄSTRA GÖTALANDS LÄN</t>
        </is>
      </c>
      <c r="G195" t="inlineStr">
        <is>
          <t>ULRICEHAMN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46229</v>
      </c>
      <c r="F196" t="inlineStr">
        <is>
          <t>VÄSTRA GÖTALANDS LÄN</t>
        </is>
      </c>
      <c r="G196" t="inlineStr">
        <is>
          <t>ULRICEHAMN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45443</v>
      </c>
      <c r="E197" s="1" t="n">
        <v>46229</v>
      </c>
      <c r="F197" t="inlineStr">
        <is>
          <t>VÄSTRA GÖTALANDS LÄN</t>
        </is>
      </c>
      <c r="G197" t="inlineStr">
        <is>
          <t>ULRICEHAMN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46229</v>
      </c>
      <c r="F198" t="inlineStr">
        <is>
          <t>VÄSTRA GÖTALANDS LÄN</t>
        </is>
      </c>
      <c r="G198" t="inlineStr">
        <is>
          <t>ULRICEHAMN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46229</v>
      </c>
      <c r="F199" t="inlineStr">
        <is>
          <t>VÄSTRA GÖTALANDS LÄN</t>
        </is>
      </c>
      <c r="G199" t="inlineStr">
        <is>
          <t>ULRICEHAMN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44970</v>
      </c>
      <c r="E200" s="1" t="n">
        <v>46229</v>
      </c>
      <c r="F200" t="inlineStr">
        <is>
          <t>VÄSTRA GÖTALANDS LÄN</t>
        </is>
      </c>
      <c r="G200" t="inlineStr">
        <is>
          <t>ULRICEHAMN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46229</v>
      </c>
      <c r="F201" t="inlineStr">
        <is>
          <t>VÄSTRA GÖTALANDS LÄN</t>
        </is>
      </c>
      <c r="G201" t="inlineStr">
        <is>
          <t>ULRICEHAMN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46229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46229</v>
      </c>
      <c r="F203" t="inlineStr">
        <is>
          <t>VÄSTRA GÖTALANDS LÄN</t>
        </is>
      </c>
      <c r="G203" t="inlineStr">
        <is>
          <t>ULRICEHAMN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46229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46229</v>
      </c>
      <c r="F205" t="inlineStr">
        <is>
          <t>VÄSTRA GÖTALANDS LÄN</t>
        </is>
      </c>
      <c r="G205" t="inlineStr">
        <is>
          <t>ULRICEHAMN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46229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46229</v>
      </c>
      <c r="F207" t="inlineStr">
        <is>
          <t>VÄSTRA GÖTALANDS LÄN</t>
        </is>
      </c>
      <c r="G207" t="inlineStr">
        <is>
          <t>ULRICEHAMN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46229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Kyrkan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44947</v>
      </c>
      <c r="E209" s="1" t="n">
        <v>46229</v>
      </c>
      <c r="F209" t="inlineStr">
        <is>
          <t>VÄSTRA GÖTALANDS LÄN</t>
        </is>
      </c>
      <c r="G209" t="inlineStr">
        <is>
          <t>ULRICEHAMN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46229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45157</v>
      </c>
      <c r="E211" s="1" t="n">
        <v>46229</v>
      </c>
      <c r="F211" t="inlineStr">
        <is>
          <t>VÄSTRA GÖTALANDS LÄN</t>
        </is>
      </c>
      <c r="G211" t="inlineStr">
        <is>
          <t>ULRICEHAMN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46229</v>
      </c>
      <c r="F212" t="inlineStr">
        <is>
          <t>VÄSTRA GÖTALANDS LÄN</t>
        </is>
      </c>
      <c r="G212" t="inlineStr">
        <is>
          <t>ULRICEHAMN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45606</v>
      </c>
      <c r="E213" s="1" t="n">
        <v>46229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46229</v>
      </c>
      <c r="F214" t="inlineStr">
        <is>
          <t>VÄSTRA GÖTALANDS LÄN</t>
        </is>
      </c>
      <c r="G214" t="inlineStr">
        <is>
          <t>ULRICEHAMN</t>
        </is>
      </c>
      <c r="H214" t="inlineStr">
        <is>
          <t>Kommuner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45683</v>
      </c>
      <c r="E215" s="1" t="n">
        <v>46229</v>
      </c>
      <c r="F215" t="inlineStr">
        <is>
          <t>VÄSTRA GÖTALANDS LÄN</t>
        </is>
      </c>
      <c r="G215" t="inlineStr">
        <is>
          <t>ULRICEHAMN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50521-2021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44455</v>
      </c>
      <c r="E216" s="1" t="n">
        <v>46229</v>
      </c>
      <c r="F216" t="inlineStr">
        <is>
          <t>VÄSTRA GÖTALANDS LÄN</t>
        </is>
      </c>
      <c r="G216" t="inlineStr">
        <is>
          <t>ULRICEHAMN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45227</v>
      </c>
      <c r="E217" s="1" t="n">
        <v>46229</v>
      </c>
      <c r="F217" t="inlineStr">
        <is>
          <t>VÄSTRA GÖTALANDS LÄN</t>
        </is>
      </c>
      <c r="G217" t="inlineStr">
        <is>
          <t>ULRICEHAMN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45227</v>
      </c>
      <c r="E218" s="1" t="n">
        <v>46229</v>
      </c>
      <c r="F218" t="inlineStr">
        <is>
          <t>VÄSTRA GÖTALANDS LÄN</t>
        </is>
      </c>
      <c r="G218" t="inlineStr">
        <is>
          <t>ULRICEHAMN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46229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46229</v>
      </c>
      <c r="F220" t="inlineStr">
        <is>
          <t>VÄSTRA GÖTALANDS LÄN</t>
        </is>
      </c>
      <c r="G220" t="inlineStr">
        <is>
          <t>ULRICEHAMN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52132-2024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45608</v>
      </c>
      <c r="E221" s="1" t="n">
        <v>46229</v>
      </c>
      <c r="F221" t="inlineStr">
        <is>
          <t>VÄSTRA GÖTALANDS LÄN</t>
        </is>
      </c>
      <c r="G221" t="inlineStr">
        <is>
          <t>ULRICEHAMN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44800</v>
      </c>
      <c r="E222" s="1" t="n">
        <v>46229</v>
      </c>
      <c r="F222" t="inlineStr">
        <is>
          <t>VÄSTRA GÖTALANDS LÄN</t>
        </is>
      </c>
      <c r="G222" t="inlineStr">
        <is>
          <t>ULRICEHAMN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44663</v>
      </c>
      <c r="E223" s="1" t="n">
        <v>46229</v>
      </c>
      <c r="F223" t="inlineStr">
        <is>
          <t>VÄSTRA GÖTALANDS LÄN</t>
        </is>
      </c>
      <c r="G223" t="inlineStr">
        <is>
          <t>ULRICEHAMN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44663</v>
      </c>
      <c r="E224" s="1" t="n">
        <v>46229</v>
      </c>
      <c r="F224" t="inlineStr">
        <is>
          <t>VÄSTRA GÖTALANDS LÄN</t>
        </is>
      </c>
      <c r="G224" t="inlineStr">
        <is>
          <t>ULRICEHAMN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45075</v>
      </c>
      <c r="E225" s="1" t="n">
        <v>46229</v>
      </c>
      <c r="F225" t="inlineStr">
        <is>
          <t>VÄSTRA GÖTALANDS LÄN</t>
        </is>
      </c>
      <c r="G225" t="inlineStr">
        <is>
          <t>ULRICEHAMN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44503</v>
      </c>
      <c r="E226" s="1" t="n">
        <v>46229</v>
      </c>
      <c r="F226" t="inlineStr">
        <is>
          <t>VÄSTRA GÖTALANDS LÄN</t>
        </is>
      </c>
      <c r="G226" t="inlineStr">
        <is>
          <t>ULRICEHAMN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44607</v>
      </c>
      <c r="E227" s="1" t="n">
        <v>46229</v>
      </c>
      <c r="F227" t="inlineStr">
        <is>
          <t>VÄSTRA GÖTALANDS LÄN</t>
        </is>
      </c>
      <c r="G227" t="inlineStr">
        <is>
          <t>ULRICEHAMN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44607</v>
      </c>
      <c r="E228" s="1" t="n">
        <v>46229</v>
      </c>
      <c r="F228" t="inlineStr">
        <is>
          <t>VÄSTRA GÖTALANDS LÄN</t>
        </is>
      </c>
      <c r="G228" t="inlineStr">
        <is>
          <t>ULRICEHAMN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46229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74199-2021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44558</v>
      </c>
      <c r="E230" s="1" t="n">
        <v>46229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45002</v>
      </c>
      <c r="E231" s="1" t="n">
        <v>46229</v>
      </c>
      <c r="F231" t="inlineStr">
        <is>
          <t>VÄSTRA GÖTALANDS LÄN</t>
        </is>
      </c>
      <c r="G231" t="inlineStr">
        <is>
          <t>ULRICEHAMN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46229</v>
      </c>
      <c r="F232" t="inlineStr">
        <is>
          <t>VÄSTRA GÖTALANDS LÄN</t>
        </is>
      </c>
      <c r="G232" t="inlineStr">
        <is>
          <t>ULRICEHAMN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46229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46229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46229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46229</v>
      </c>
      <c r="F236" t="inlineStr">
        <is>
          <t>VÄSTRA GÖTALANDS LÄN</t>
        </is>
      </c>
      <c r="G236" t="inlineStr">
        <is>
          <t>ULRICEHAMN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46229</v>
      </c>
      <c r="F237" t="inlineStr">
        <is>
          <t>VÄSTRA GÖTALANDS LÄN</t>
        </is>
      </c>
      <c r="G237" t="inlineStr">
        <is>
          <t>ULRICEHAMN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46229</v>
      </c>
      <c r="F238" t="inlineStr">
        <is>
          <t>VÄSTRA GÖTALANDS LÄN</t>
        </is>
      </c>
      <c r="G238" t="inlineStr">
        <is>
          <t>ULRICEHAMN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64736-2023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46229</v>
      </c>
      <c r="F239" t="inlineStr">
        <is>
          <t>VÄSTRA GÖTALANDS LÄN</t>
        </is>
      </c>
      <c r="G239" t="inlineStr">
        <is>
          <t>ULRICEHAMN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64738-2023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46229</v>
      </c>
      <c r="F240" t="inlineStr">
        <is>
          <t>VÄSTRA GÖTALANDS LÄN</t>
        </is>
      </c>
      <c r="G240" t="inlineStr">
        <is>
          <t>ULRICEHAMN</t>
        </is>
      </c>
      <c r="I240" t="n">
        <v>14.1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46229</v>
      </c>
      <c r="F241" t="inlineStr">
        <is>
          <t>VÄSTRA GÖTALANDS LÄN</t>
        </is>
      </c>
      <c r="G241" t="inlineStr">
        <is>
          <t>ULRICEHAMN</t>
        </is>
      </c>
      <c r="H241" t="inlineStr">
        <is>
          <t>Sveaskog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37560-2025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45880</v>
      </c>
      <c r="E242" s="1" t="n">
        <v>46229</v>
      </c>
      <c r="F242" t="inlineStr">
        <is>
          <t>VÄSTRA GÖTALANDS LÄN</t>
        </is>
      </c>
      <c r="G242" t="inlineStr">
        <is>
          <t>ULRICEHAMN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46229</v>
      </c>
      <c r="F243" t="inlineStr">
        <is>
          <t>VÄSTRA GÖTALANDS LÄN</t>
        </is>
      </c>
      <c r="G243" t="inlineStr">
        <is>
          <t>ULRICEHAMN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37791-2023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45159</v>
      </c>
      <c r="E244" s="1" t="n">
        <v>46229</v>
      </c>
      <c r="F244" t="inlineStr">
        <is>
          <t>VÄSTRA GÖTALANDS LÄN</t>
        </is>
      </c>
      <c r="G244" t="inlineStr">
        <is>
          <t>ULRICEHAMN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46229</v>
      </c>
      <c r="F245" t="inlineStr">
        <is>
          <t>VÄSTRA GÖTALANDS LÄN</t>
        </is>
      </c>
      <c r="G245" t="inlineStr">
        <is>
          <t>ULRICEHAMN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45553</v>
      </c>
      <c r="E246" s="1" t="n">
        <v>46229</v>
      </c>
      <c r="F246" t="inlineStr">
        <is>
          <t>VÄSTRA GÖTALANDS LÄN</t>
        </is>
      </c>
      <c r="G246" t="inlineStr">
        <is>
          <t>ULRICEHAMN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46229</v>
      </c>
      <c r="F247" t="inlineStr">
        <is>
          <t>VÄSTRA GÖTALANDS LÄN</t>
        </is>
      </c>
      <c r="G247" t="inlineStr">
        <is>
          <t>ULRICEHAMN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45343</v>
      </c>
      <c r="E248" s="1" t="n">
        <v>46229</v>
      </c>
      <c r="F248" t="inlineStr">
        <is>
          <t>VÄSTRA GÖTALANDS LÄN</t>
        </is>
      </c>
      <c r="G248" t="inlineStr">
        <is>
          <t>ULRICEHAMN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46229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46229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46229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55323-2022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46229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46229</v>
      </c>
      <c r="F253" t="inlineStr">
        <is>
          <t>VÄSTRA GÖTALANDS LÄN</t>
        </is>
      </c>
      <c r="G253" t="inlineStr">
        <is>
          <t>ULRICEHAMN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46229</v>
      </c>
      <c r="F254" t="inlineStr">
        <is>
          <t>VÄSTRA GÖTALANDS LÄN</t>
        </is>
      </c>
      <c r="G254" t="inlineStr">
        <is>
          <t>ULRICEHAMN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46229</v>
      </c>
      <c r="F255" t="inlineStr">
        <is>
          <t>VÄSTRA GÖTALANDS LÄN</t>
        </is>
      </c>
      <c r="G255" t="inlineStr">
        <is>
          <t>ULRICEHAMN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45795</v>
      </c>
      <c r="E256" s="1" t="n">
        <v>46229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46229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46229</v>
      </c>
      <c r="F258" t="inlineStr">
        <is>
          <t>VÄSTRA GÖTALANDS LÄN</t>
        </is>
      </c>
      <c r="G258" t="inlineStr">
        <is>
          <t>ULRICEHAMN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46229</v>
      </c>
      <c r="F259" t="inlineStr">
        <is>
          <t>VÄSTRA GÖTALANDS LÄN</t>
        </is>
      </c>
      <c r="G259" t="inlineStr">
        <is>
          <t>ULRICEHAMN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46229</v>
      </c>
      <c r="F260" t="inlineStr">
        <is>
          <t>VÄSTRA GÖTALANDS LÄN</t>
        </is>
      </c>
      <c r="G260" t="inlineStr">
        <is>
          <t>ULRICEHAMN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46229</v>
      </c>
      <c r="F261" t="inlineStr">
        <is>
          <t>VÄSTRA GÖTALANDS LÄN</t>
        </is>
      </c>
      <c r="G261" t="inlineStr">
        <is>
          <t>ULRICEHAMN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46229</v>
      </c>
      <c r="F262" t="inlineStr">
        <is>
          <t>VÄSTRA GÖTALANDS LÄN</t>
        </is>
      </c>
      <c r="G262" t="inlineStr">
        <is>
          <t>ULRICEHAMN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46229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46229</v>
      </c>
      <c r="F264" t="inlineStr">
        <is>
          <t>VÄSTRA GÖTALANDS LÄN</t>
        </is>
      </c>
      <c r="G264" t="inlineStr">
        <is>
          <t>ULRICEHAMN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46229</v>
      </c>
      <c r="F265" t="inlineStr">
        <is>
          <t>VÄSTRA GÖTALANDS LÄN</t>
        </is>
      </c>
      <c r="G265" t="inlineStr">
        <is>
          <t>ULRICEHAMN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45593</v>
      </c>
      <c r="E266" s="1" t="n">
        <v>46229</v>
      </c>
      <c r="F266" t="inlineStr">
        <is>
          <t>VÄSTRA GÖTALANDS LÄN</t>
        </is>
      </c>
      <c r="G266" t="inlineStr">
        <is>
          <t>ULRICEHAMN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46229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13.7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46229</v>
      </c>
      <c r="F268" t="inlineStr">
        <is>
          <t>VÄSTRA GÖTALANDS LÄN</t>
        </is>
      </c>
      <c r="G268" t="inlineStr">
        <is>
          <t>ULRICEHAMN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46229</v>
      </c>
      <c r="F269" t="inlineStr">
        <is>
          <t>VÄSTRA GÖTALANDS LÄN</t>
        </is>
      </c>
      <c r="G269" t="inlineStr">
        <is>
          <t>ULRICEHAMN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46229</v>
      </c>
      <c r="F270" t="inlineStr">
        <is>
          <t>VÄSTRA GÖTALANDS LÄN</t>
        </is>
      </c>
      <c r="G270" t="inlineStr">
        <is>
          <t>ULRICEHAMN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46229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46229</v>
      </c>
      <c r="F272" t="inlineStr">
        <is>
          <t>VÄSTRA GÖTALANDS LÄN</t>
        </is>
      </c>
      <c r="G272" t="inlineStr">
        <is>
          <t>ULRICEHAMN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45324</v>
      </c>
      <c r="E273" s="1" t="n">
        <v>46229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Kyrkan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56830-2022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44894</v>
      </c>
      <c r="E274" s="1" t="n">
        <v>46229</v>
      </c>
      <c r="F274" t="inlineStr">
        <is>
          <t>VÄSTRA GÖTALANDS LÄN</t>
        </is>
      </c>
      <c r="G274" t="inlineStr">
        <is>
          <t>ULRICEHAMN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46229</v>
      </c>
      <c r="F275" t="inlineStr">
        <is>
          <t>VÄSTRA GÖTALANDS LÄN</t>
        </is>
      </c>
      <c r="G275" t="inlineStr">
        <is>
          <t>ULRICEHAMN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45636</v>
      </c>
      <c r="E276" s="1" t="n">
        <v>46229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55997-2021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46229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46229</v>
      </c>
      <c r="F278" t="inlineStr">
        <is>
          <t>VÄSTRA GÖTALANDS LÄN</t>
        </is>
      </c>
      <c r="G278" t="inlineStr">
        <is>
          <t>ULRICEHAMN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45771</v>
      </c>
      <c r="E279" s="1" t="n">
        <v>46229</v>
      </c>
      <c r="F279" t="inlineStr">
        <is>
          <t>VÄSTRA GÖTALANDS LÄN</t>
        </is>
      </c>
      <c r="G279" t="inlineStr">
        <is>
          <t>ULRICEHAMN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44638</v>
      </c>
      <c r="E280" s="1" t="n">
        <v>46229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Kommuner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44638</v>
      </c>
      <c r="E281" s="1" t="n">
        <v>46229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Kommuner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46229</v>
      </c>
      <c r="F282" t="inlineStr">
        <is>
          <t>VÄSTRA GÖTALANDS LÄN</t>
        </is>
      </c>
      <c r="G282" t="inlineStr">
        <is>
          <t>ULRICEHAMN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46229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46229</v>
      </c>
      <c r="F284" t="inlineStr">
        <is>
          <t>VÄSTRA GÖTALANDS LÄN</t>
        </is>
      </c>
      <c r="G284" t="inlineStr">
        <is>
          <t>ULRICEHAMN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46229</v>
      </c>
      <c r="F285" t="inlineStr">
        <is>
          <t>VÄSTRA GÖTALANDS LÄN</t>
        </is>
      </c>
      <c r="G285" t="inlineStr">
        <is>
          <t>ULRICEHAMN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46229</v>
      </c>
      <c r="F286" t="inlineStr">
        <is>
          <t>VÄSTRA GÖTALANDS LÄN</t>
        </is>
      </c>
      <c r="G286" t="inlineStr">
        <is>
          <t>ULRICEHAMN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46229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46229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46229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45742</v>
      </c>
      <c r="E290" s="1" t="n">
        <v>46229</v>
      </c>
      <c r="F290" t="inlineStr">
        <is>
          <t>VÄSTRA GÖTALANDS LÄN</t>
        </is>
      </c>
      <c r="G290" t="inlineStr">
        <is>
          <t>ULRICEHAMN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45233</v>
      </c>
      <c r="E291" s="1" t="n">
        <v>46229</v>
      </c>
      <c r="F291" t="inlineStr">
        <is>
          <t>VÄSTRA GÖTALANDS LÄN</t>
        </is>
      </c>
      <c r="G291" t="inlineStr">
        <is>
          <t>ULRICEHAMN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46229</v>
      </c>
      <c r="F292" t="inlineStr">
        <is>
          <t>VÄSTRA GÖTALANDS LÄN</t>
        </is>
      </c>
      <c r="G292" t="inlineStr">
        <is>
          <t>ULRICEHAMN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46229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46229</v>
      </c>
      <c r="F294" t="inlineStr">
        <is>
          <t>VÄSTRA GÖTALANDS LÄN</t>
        </is>
      </c>
      <c r="G294" t="inlineStr">
        <is>
          <t>ULRICEHAMN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46229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45343</v>
      </c>
      <c r="E296" s="1" t="n">
        <v>46229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46229</v>
      </c>
      <c r="F297" t="inlineStr">
        <is>
          <t>VÄSTRA GÖTALANDS LÄN</t>
        </is>
      </c>
      <c r="G297" t="inlineStr">
        <is>
          <t>ULRICEHAMN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44636</v>
      </c>
      <c r="E298" s="1" t="n">
        <v>46229</v>
      </c>
      <c r="F298" t="inlineStr">
        <is>
          <t>VÄSTRA GÖTALANDS LÄN</t>
        </is>
      </c>
      <c r="G298" t="inlineStr">
        <is>
          <t>ULRICEHAMN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46229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46229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46229</v>
      </c>
      <c r="F301" t="inlineStr">
        <is>
          <t>VÄSTRA GÖTALANDS LÄN</t>
        </is>
      </c>
      <c r="G301" t="inlineStr">
        <is>
          <t>ULRICEHAMN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46229</v>
      </c>
      <c r="F302" t="inlineStr">
        <is>
          <t>VÄSTRA GÖTALANDS LÄN</t>
        </is>
      </c>
      <c r="G302" t="inlineStr">
        <is>
          <t>ULRICEHAMN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46229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45362</v>
      </c>
      <c r="E304" s="1" t="n">
        <v>46229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46229</v>
      </c>
      <c r="F305" t="inlineStr">
        <is>
          <t>VÄSTRA GÖTALANDS LÄN</t>
        </is>
      </c>
      <c r="G305" t="inlineStr">
        <is>
          <t>ULRICEHAMN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45638-2025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45922</v>
      </c>
      <c r="E306" s="1" t="n">
        <v>46229</v>
      </c>
      <c r="F306" t="inlineStr">
        <is>
          <t>VÄSTRA GÖTALANDS LÄN</t>
        </is>
      </c>
      <c r="G306" t="inlineStr">
        <is>
          <t>ULRICEHAMN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46229</v>
      </c>
      <c r="F307" t="inlineStr">
        <is>
          <t>VÄSTRA GÖTALANDS LÄN</t>
        </is>
      </c>
      <c r="G307" t="inlineStr">
        <is>
          <t>ULRICEHAMN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46229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46229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46229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46229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46229</v>
      </c>
      <c r="F312" t="inlineStr">
        <is>
          <t>VÄSTRA GÖTALANDS LÄN</t>
        </is>
      </c>
      <c r="G312" t="inlineStr">
        <is>
          <t>ULRICEHAMN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46229</v>
      </c>
      <c r="F313" t="inlineStr">
        <is>
          <t>VÄSTRA GÖTALANDS LÄN</t>
        </is>
      </c>
      <c r="G313" t="inlineStr">
        <is>
          <t>ULRICEHAMN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46229</v>
      </c>
      <c r="F314" t="inlineStr">
        <is>
          <t>VÄSTRA GÖTALANDS LÄN</t>
        </is>
      </c>
      <c r="G314" t="inlineStr">
        <is>
          <t>ULRICEHAMN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46229</v>
      </c>
      <c r="F315" t="inlineStr">
        <is>
          <t>VÄSTRA GÖTALANDS LÄN</t>
        </is>
      </c>
      <c r="G315" t="inlineStr">
        <is>
          <t>ULRICEHAMN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46229</v>
      </c>
      <c r="F316" t="inlineStr">
        <is>
          <t>VÄSTRA GÖTALANDS LÄN</t>
        </is>
      </c>
      <c r="G316" t="inlineStr">
        <is>
          <t>ULRICEHAMN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46229</v>
      </c>
      <c r="F317" t="inlineStr">
        <is>
          <t>VÄSTRA GÖTALANDS LÄN</t>
        </is>
      </c>
      <c r="G317" t="inlineStr">
        <is>
          <t>ULRICEHAMN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46229</v>
      </c>
      <c r="F318" t="inlineStr">
        <is>
          <t>VÄSTRA GÖTALANDS LÄN</t>
        </is>
      </c>
      <c r="G318" t="inlineStr">
        <is>
          <t>ULRICEHAMN</t>
        </is>
      </c>
      <c r="I318" t="n">
        <v>14.7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46229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26248-2023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45091</v>
      </c>
      <c r="E320" s="1" t="n">
        <v>46229</v>
      </c>
      <c r="F320" t="inlineStr">
        <is>
          <t>VÄSTRA GÖTALANDS LÄN</t>
        </is>
      </c>
      <c r="G320" t="inlineStr">
        <is>
          <t>ULRICEHAMN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3441-2024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45320</v>
      </c>
      <c r="E321" s="1" t="n">
        <v>46229</v>
      </c>
      <c r="F321" t="inlineStr">
        <is>
          <t>VÄSTRA GÖTALANDS LÄN</t>
        </is>
      </c>
      <c r="G321" t="inlineStr">
        <is>
          <t>ULRICEHAMN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46229</v>
      </c>
      <c r="F322" t="inlineStr">
        <is>
          <t>VÄSTRA GÖTALANDS LÄN</t>
        </is>
      </c>
      <c r="G322" t="inlineStr">
        <is>
          <t>ULRICEHAMN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46229</v>
      </c>
      <c r="F323" t="inlineStr">
        <is>
          <t>VÄSTRA GÖTALANDS LÄN</t>
        </is>
      </c>
      <c r="G323" t="inlineStr">
        <is>
          <t>ULRICEHAMN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45134</v>
      </c>
      <c r="E324" s="1" t="n">
        <v>46229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46229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60562-2022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46229</v>
      </c>
      <c r="F326" t="inlineStr">
        <is>
          <t>VÄSTRA GÖTALANDS LÄN</t>
        </is>
      </c>
      <c r="G326" t="inlineStr">
        <is>
          <t>ULRICEHAMN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46229</v>
      </c>
      <c r="F327" t="inlineStr">
        <is>
          <t>VÄSTRA GÖTALANDS LÄN</t>
        </is>
      </c>
      <c r="G327" t="inlineStr">
        <is>
          <t>ULRICEHAMN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46229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46229</v>
      </c>
      <c r="F329" t="inlineStr">
        <is>
          <t>VÄSTRA GÖTALANDS LÄN</t>
        </is>
      </c>
      <c r="G329" t="inlineStr">
        <is>
          <t>ULRICEHAMN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46229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46229</v>
      </c>
      <c r="F331" t="inlineStr">
        <is>
          <t>VÄSTRA GÖTALANDS LÄN</t>
        </is>
      </c>
      <c r="G331" t="inlineStr">
        <is>
          <t>ULRICEHAMN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46229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45162</v>
      </c>
      <c r="E333" s="1" t="n">
        <v>46229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46229</v>
      </c>
      <c r="F334" t="inlineStr">
        <is>
          <t>VÄSTRA GÖTALANDS LÄN</t>
        </is>
      </c>
      <c r="G334" t="inlineStr">
        <is>
          <t>ULRICEHAMN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45934</v>
      </c>
      <c r="E335" s="1" t="n">
        <v>46229</v>
      </c>
      <c r="F335" t="inlineStr">
        <is>
          <t>VÄSTRA GÖTALANDS LÄN</t>
        </is>
      </c>
      <c r="G335" t="inlineStr">
        <is>
          <t>ULRICEHAMN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45934</v>
      </c>
      <c r="E336" s="1" t="n">
        <v>46229</v>
      </c>
      <c r="F336" t="inlineStr">
        <is>
          <t>VÄSTRA GÖTALANDS LÄN</t>
        </is>
      </c>
      <c r="G336" t="inlineStr">
        <is>
          <t>ULRICEHAMN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45934</v>
      </c>
      <c r="E337" s="1" t="n">
        <v>46229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45934</v>
      </c>
      <c r="E338" s="1" t="n">
        <v>46229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45934</v>
      </c>
      <c r="E339" s="1" t="n">
        <v>46229</v>
      </c>
      <c r="F339" t="inlineStr">
        <is>
          <t>VÄSTRA GÖTALANDS LÄN</t>
        </is>
      </c>
      <c r="G339" t="inlineStr">
        <is>
          <t>ULRICEHAMN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46229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46229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46229</v>
      </c>
      <c r="F342" t="inlineStr">
        <is>
          <t>VÄSTRA GÖTALANDS LÄN</t>
        </is>
      </c>
      <c r="G342" t="inlineStr">
        <is>
          <t>ULRICEHAMN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46229</v>
      </c>
      <c r="F343" t="inlineStr">
        <is>
          <t>VÄSTRA GÖTALANDS LÄN</t>
        </is>
      </c>
      <c r="G343" t="inlineStr">
        <is>
          <t>ULRICEHAMN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45261</v>
      </c>
      <c r="E344" s="1" t="n">
        <v>46229</v>
      </c>
      <c r="F344" t="inlineStr">
        <is>
          <t>VÄSTRA GÖTALANDS LÄN</t>
        </is>
      </c>
      <c r="G344" t="inlineStr">
        <is>
          <t>ULRICEHAMN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46229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46229</v>
      </c>
      <c r="F346" t="inlineStr">
        <is>
          <t>VÄSTRA GÖTALANDS LÄN</t>
        </is>
      </c>
      <c r="G346" t="inlineStr">
        <is>
          <t>ULRICEHAMN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46229</v>
      </c>
      <c r="F347" t="inlineStr">
        <is>
          <t>VÄSTRA GÖTALANDS LÄN</t>
        </is>
      </c>
      <c r="G347" t="inlineStr">
        <is>
          <t>ULRICEHAMN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46229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45411</v>
      </c>
      <c r="E349" s="1" t="n">
        <v>46229</v>
      </c>
      <c r="F349" t="inlineStr">
        <is>
          <t>VÄSTRA GÖTALANDS LÄN</t>
        </is>
      </c>
      <c r="G349" t="inlineStr">
        <is>
          <t>ULRICEHAMN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46229</v>
      </c>
      <c r="F350" t="inlineStr">
        <is>
          <t>VÄSTRA GÖTALANDS LÄN</t>
        </is>
      </c>
      <c r="G350" t="inlineStr">
        <is>
          <t>ULRICEHAMN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46229</v>
      </c>
      <c r="F351" t="inlineStr">
        <is>
          <t>VÄSTRA GÖTALANDS LÄN</t>
        </is>
      </c>
      <c r="G351" t="inlineStr">
        <is>
          <t>ULRICEHAMN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46229</v>
      </c>
      <c r="F352" t="inlineStr">
        <is>
          <t>VÄSTRA GÖTALANDS LÄN</t>
        </is>
      </c>
      <c r="G352" t="inlineStr">
        <is>
          <t>ULRICEHAMN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46229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46229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53965-2022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46229</v>
      </c>
      <c r="F355" t="inlineStr">
        <is>
          <t>VÄSTRA GÖTALANDS LÄN</t>
        </is>
      </c>
      <c r="G355" t="inlineStr">
        <is>
          <t>ULRICEHAMN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46229</v>
      </c>
      <c r="F356" t="inlineStr">
        <is>
          <t>VÄSTRA GÖTALANDS LÄN</t>
        </is>
      </c>
      <c r="G356" t="inlineStr">
        <is>
          <t>ULRICEHAMN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44762</v>
      </c>
      <c r="E357" s="1" t="n">
        <v>46229</v>
      </c>
      <c r="F357" t="inlineStr">
        <is>
          <t>VÄSTRA GÖTALANDS LÄN</t>
        </is>
      </c>
      <c r="G357" t="inlineStr">
        <is>
          <t>ULRICEHAMN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46229</v>
      </c>
      <c r="F358" t="inlineStr">
        <is>
          <t>VÄSTRA GÖTALANDS LÄN</t>
        </is>
      </c>
      <c r="G358" t="inlineStr">
        <is>
          <t>ULRICEHAMN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45947</v>
      </c>
      <c r="E359" s="1" t="n">
        <v>46229</v>
      </c>
      <c r="F359" t="inlineStr">
        <is>
          <t>VÄSTRA GÖTALANDS LÄN</t>
        </is>
      </c>
      <c r="G359" t="inlineStr">
        <is>
          <t>ULRICEHAMN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64998-2021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44514</v>
      </c>
      <c r="E360" s="1" t="n">
        <v>46229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45951</v>
      </c>
      <c r="E361" s="1" t="n">
        <v>46229</v>
      </c>
      <c r="F361" t="inlineStr">
        <is>
          <t>VÄSTRA GÖTALANDS LÄN</t>
        </is>
      </c>
      <c r="G361" t="inlineStr">
        <is>
          <t>ULRICEHAMN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46229</v>
      </c>
      <c r="F362" t="inlineStr">
        <is>
          <t>VÄSTRA GÖTALANDS LÄN</t>
        </is>
      </c>
      <c r="G362" t="inlineStr">
        <is>
          <t>ULRICEHAMN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46229</v>
      </c>
      <c r="F363" t="inlineStr">
        <is>
          <t>VÄSTRA GÖTALANDS LÄN</t>
        </is>
      </c>
      <c r="G363" t="inlineStr">
        <is>
          <t>ULRICEHAMN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46229</v>
      </c>
      <c r="F364" t="inlineStr">
        <is>
          <t>VÄSTRA GÖTALANDS LÄN</t>
        </is>
      </c>
      <c r="G364" t="inlineStr">
        <is>
          <t>ULRICEHAMN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46229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45951</v>
      </c>
      <c r="E366" s="1" t="n">
        <v>46229</v>
      </c>
      <c r="F366" t="inlineStr">
        <is>
          <t>VÄSTRA GÖTALANDS LÄN</t>
        </is>
      </c>
      <c r="G366" t="inlineStr">
        <is>
          <t>ULRICEHAMN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45087</v>
      </c>
      <c r="E367" s="1" t="n">
        <v>46229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46229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46229</v>
      </c>
      <c r="F369" t="inlineStr">
        <is>
          <t>VÄSTRA GÖTALANDS LÄN</t>
        </is>
      </c>
      <c r="G369" t="inlineStr">
        <is>
          <t>ULRICEHAMN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45578</v>
      </c>
      <c r="E370" s="1" t="n">
        <v>46229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45954</v>
      </c>
      <c r="E371" s="1" t="n">
        <v>46229</v>
      </c>
      <c r="F371" t="inlineStr">
        <is>
          <t>VÄSTRA GÖTALANDS LÄN</t>
        </is>
      </c>
      <c r="G371" t="inlineStr">
        <is>
          <t>ULRICEHAMN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45954</v>
      </c>
      <c r="E372" s="1" t="n">
        <v>46229</v>
      </c>
      <c r="F372" t="inlineStr">
        <is>
          <t>VÄSTRA GÖTALANDS LÄN</t>
        </is>
      </c>
      <c r="G372" t="inlineStr">
        <is>
          <t>ULRICEHAMN</t>
        </is>
      </c>
      <c r="H372" t="inlineStr">
        <is>
          <t>Sveaskog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17507-2024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45415</v>
      </c>
      <c r="E373" s="1" t="n">
        <v>46229</v>
      </c>
      <c r="F373" t="inlineStr">
        <is>
          <t>VÄSTRA GÖTALANDS LÄN</t>
        </is>
      </c>
      <c r="G373" t="inlineStr">
        <is>
          <t>ULRICEHAMN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45710</v>
      </c>
      <c r="E374" s="1" t="n">
        <v>46229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46229</v>
      </c>
      <c r="F375" t="inlineStr">
        <is>
          <t>VÄSTRA GÖTALANDS LÄN</t>
        </is>
      </c>
      <c r="G375" t="inlineStr">
        <is>
          <t>ULRICEHAMN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46229</v>
      </c>
      <c r="F376" t="inlineStr">
        <is>
          <t>VÄSTRA GÖTALANDS LÄN</t>
        </is>
      </c>
      <c r="G376" t="inlineStr">
        <is>
          <t>ULRICEHAMN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45258</v>
      </c>
      <c r="E377" s="1" t="n">
        <v>46229</v>
      </c>
      <c r="F377" t="inlineStr">
        <is>
          <t>VÄSTRA GÖTALANDS LÄN</t>
        </is>
      </c>
      <c r="G377" t="inlineStr">
        <is>
          <t>ULRICEHAMN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46229</v>
      </c>
      <c r="F378" t="inlineStr">
        <is>
          <t>VÄSTRA GÖTALANDS LÄN</t>
        </is>
      </c>
      <c r="G378" t="inlineStr">
        <is>
          <t>ULRICEHAMN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46229</v>
      </c>
      <c r="F379" t="inlineStr">
        <is>
          <t>VÄSTRA GÖTALANDS LÄN</t>
        </is>
      </c>
      <c r="G379" t="inlineStr">
        <is>
          <t>ULRICEHAMN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46229</v>
      </c>
      <c r="F380" t="inlineStr">
        <is>
          <t>VÄSTRA GÖTALANDS LÄN</t>
        </is>
      </c>
      <c r="G380" t="inlineStr">
        <is>
          <t>ULRICEHAMN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44944</v>
      </c>
      <c r="E381" s="1" t="n">
        <v>46229</v>
      </c>
      <c r="F381" t="inlineStr">
        <is>
          <t>VÄSTRA GÖTALANDS LÄN</t>
        </is>
      </c>
      <c r="G381" t="inlineStr">
        <is>
          <t>ULRICEHAMN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45960</v>
      </c>
      <c r="E382" s="1" t="n">
        <v>46229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14039-2023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45008</v>
      </c>
      <c r="E383" s="1" t="n">
        <v>46229</v>
      </c>
      <c r="F383" t="inlineStr">
        <is>
          <t>VÄSTRA GÖTALANDS LÄN</t>
        </is>
      </c>
      <c r="G383" t="inlineStr">
        <is>
          <t>ULRICEHAMN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46229</v>
      </c>
      <c r="F384" t="inlineStr">
        <is>
          <t>VÄSTRA GÖTALANDS LÄN</t>
        </is>
      </c>
      <c r="G384" t="inlineStr">
        <is>
          <t>ULRICEHAMN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46229</v>
      </c>
      <c r="F385" t="inlineStr">
        <is>
          <t>VÄSTRA GÖTALANDS LÄN</t>
        </is>
      </c>
      <c r="G385" t="inlineStr">
        <is>
          <t>ULRICEHAMN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45153</v>
      </c>
      <c r="E386" s="1" t="n">
        <v>46229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46229</v>
      </c>
      <c r="F387" t="inlineStr">
        <is>
          <t>VÄSTRA GÖTALANDS LÄN</t>
        </is>
      </c>
      <c r="G387" t="inlineStr">
        <is>
          <t>ULRICEHAMN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27664-2026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46229</v>
      </c>
      <c r="F388" t="inlineStr">
        <is>
          <t>VÄSTRA GÖTALANDS LÄN</t>
        </is>
      </c>
      <c r="G388" t="inlineStr">
        <is>
          <t>ULRICEHAMN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46229</v>
      </c>
      <c r="F389" t="inlineStr">
        <is>
          <t>VÄSTRA GÖTALANDS LÄN</t>
        </is>
      </c>
      <c r="G389" t="inlineStr">
        <is>
          <t>ULRICEHAMN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45605</v>
      </c>
      <c r="E390" s="1" t="n">
        <v>46229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45237</v>
      </c>
      <c r="E391" s="1" t="n">
        <v>46229</v>
      </c>
      <c r="F391" t="inlineStr">
        <is>
          <t>VÄSTRA GÖTALANDS LÄN</t>
        </is>
      </c>
      <c r="G391" t="inlineStr">
        <is>
          <t>ULRICEHAMN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46229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Kommuner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46229</v>
      </c>
      <c r="F393" t="inlineStr">
        <is>
          <t>VÄSTRA GÖTALANDS LÄN</t>
        </is>
      </c>
      <c r="G393" t="inlineStr">
        <is>
          <t>ULRICEHAMN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46229</v>
      </c>
      <c r="F394" t="inlineStr">
        <is>
          <t>VÄSTRA GÖTALANDS LÄN</t>
        </is>
      </c>
      <c r="G394" t="inlineStr">
        <is>
          <t>ULRICEHAMN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55270-2025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45968</v>
      </c>
      <c r="E395" s="1" t="n">
        <v>46229</v>
      </c>
      <c r="F395" t="inlineStr">
        <is>
          <t>VÄSTRA GÖTALANDS LÄN</t>
        </is>
      </c>
      <c r="G395" t="inlineStr">
        <is>
          <t>ULRICEHAMN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46229</v>
      </c>
      <c r="F396" t="inlineStr">
        <is>
          <t>VÄSTRA GÖTALANDS LÄN</t>
        </is>
      </c>
      <c r="G396" t="inlineStr">
        <is>
          <t>ULRICEHAMN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44971</v>
      </c>
      <c r="E397" s="1" t="n">
        <v>46229</v>
      </c>
      <c r="F397" t="inlineStr">
        <is>
          <t>VÄSTRA GÖTALANDS LÄN</t>
        </is>
      </c>
      <c r="G397" t="inlineStr">
        <is>
          <t>ULRICEHAMN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46229</v>
      </c>
      <c r="F398" t="inlineStr">
        <is>
          <t>VÄSTRA GÖTALANDS LÄN</t>
        </is>
      </c>
      <c r="G398" t="inlineStr">
        <is>
          <t>ULRICEHAMN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46229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44781</v>
      </c>
      <c r="E400" s="1" t="n">
        <v>46229</v>
      </c>
      <c r="F400" t="inlineStr">
        <is>
          <t>VÄSTRA GÖTALANDS LÄN</t>
        </is>
      </c>
      <c r="G400" t="inlineStr">
        <is>
          <t>ULRICEHAMN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46229</v>
      </c>
      <c r="F401" t="inlineStr">
        <is>
          <t>VÄSTRA GÖTALANDS LÄN</t>
        </is>
      </c>
      <c r="G401" t="inlineStr">
        <is>
          <t>ULRICEHAMN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46229</v>
      </c>
      <c r="F402" t="inlineStr">
        <is>
          <t>VÄSTRA GÖTALANDS LÄN</t>
        </is>
      </c>
      <c r="G402" t="inlineStr">
        <is>
          <t>ULRICEHAMN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45626</v>
      </c>
      <c r="E403" s="1" t="n">
        <v>46229</v>
      </c>
      <c r="F403" t="inlineStr">
        <is>
          <t>VÄSTRA GÖTALANDS LÄN</t>
        </is>
      </c>
      <c r="G403" t="inlineStr">
        <is>
          <t>ULRICEHAMN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45626</v>
      </c>
      <c r="E404" s="1" t="n">
        <v>46229</v>
      </c>
      <c r="F404" t="inlineStr">
        <is>
          <t>VÄSTRA GÖTALANDS LÄN</t>
        </is>
      </c>
      <c r="G404" t="inlineStr">
        <is>
          <t>ULRICEHAMN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949-2025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45666</v>
      </c>
      <c r="E405" s="1" t="n">
        <v>46229</v>
      </c>
      <c r="F405" t="inlineStr">
        <is>
          <t>VÄSTRA GÖTALANDS LÄN</t>
        </is>
      </c>
      <c r="G405" t="inlineStr">
        <is>
          <t>ULRICEHAMN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46229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46229</v>
      </c>
      <c r="F407" t="inlineStr">
        <is>
          <t>VÄSTRA GÖTALANDS LÄN</t>
        </is>
      </c>
      <c r="G407" t="inlineStr">
        <is>
          <t>ULRICEHAMN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46229</v>
      </c>
      <c r="F408" t="inlineStr">
        <is>
          <t>VÄSTRA GÖTALANDS LÄN</t>
        </is>
      </c>
      <c r="G408" t="inlineStr">
        <is>
          <t>ULRICEHAMN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54912-2023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46229</v>
      </c>
      <c r="F409" t="inlineStr">
        <is>
          <t>VÄSTRA GÖTALANDS LÄN</t>
        </is>
      </c>
      <c r="G409" t="inlineStr">
        <is>
          <t>ULRICEHAMN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45194</v>
      </c>
      <c r="E410" s="1" t="n">
        <v>46229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46229</v>
      </c>
      <c r="F411" t="inlineStr">
        <is>
          <t>VÄSTRA GÖTALANDS LÄN</t>
        </is>
      </c>
      <c r="G411" t="inlineStr">
        <is>
          <t>ULRICEHAMN</t>
        </is>
      </c>
      <c r="I411" t="n">
        <v>17.6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34771-2023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45140</v>
      </c>
      <c r="E412" s="1" t="n">
        <v>46229</v>
      </c>
      <c r="F412" t="inlineStr">
        <is>
          <t>VÄSTRA GÖTALANDS LÄN</t>
        </is>
      </c>
      <c r="G412" t="inlineStr">
        <is>
          <t>ULRICEHAMN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45140</v>
      </c>
      <c r="E413" s="1" t="n">
        <v>46229</v>
      </c>
      <c r="F413" t="inlineStr">
        <is>
          <t>VÄSTRA GÖTALANDS LÄN</t>
        </is>
      </c>
      <c r="G413" t="inlineStr">
        <is>
          <t>ULRICEHAMN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45607</v>
      </c>
      <c r="E414" s="1" t="n">
        <v>46229</v>
      </c>
      <c r="F414" t="inlineStr">
        <is>
          <t>VÄSTRA GÖTALANDS LÄN</t>
        </is>
      </c>
      <c r="G414" t="inlineStr">
        <is>
          <t>ULRICEHAMN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37358-2022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44809</v>
      </c>
      <c r="E415" s="1" t="n">
        <v>46229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58250-2025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46229</v>
      </c>
      <c r="F416" t="inlineStr">
        <is>
          <t>VÄSTRA GÖTALANDS LÄN</t>
        </is>
      </c>
      <c r="G416" t="inlineStr">
        <is>
          <t>ULRICEHAMN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64733-2023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46229</v>
      </c>
      <c r="F417" t="inlineStr">
        <is>
          <t>VÄSTRA GÖTALANDS LÄN</t>
        </is>
      </c>
      <c r="G417" t="inlineStr">
        <is>
          <t>ULRICEHAMN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44463-2023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46229</v>
      </c>
      <c r="F418" t="inlineStr">
        <is>
          <t>VÄSTRA GÖTALANDS LÄN</t>
        </is>
      </c>
      <c r="G418" t="inlineStr">
        <is>
          <t>ULRICEHAMN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46229</v>
      </c>
      <c r="F419" t="inlineStr">
        <is>
          <t>VÄSTRA GÖTALANDS LÄN</t>
        </is>
      </c>
      <c r="G419" t="inlineStr">
        <is>
          <t>ULRICEHAMN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63094-2023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45273</v>
      </c>
      <c r="E420" s="1" t="n">
        <v>46229</v>
      </c>
      <c r="F420" t="inlineStr">
        <is>
          <t>VÄSTRA GÖTALANDS LÄN</t>
        </is>
      </c>
      <c r="G420" t="inlineStr">
        <is>
          <t>ULRICEHAMN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44638</v>
      </c>
      <c r="E421" s="1" t="n">
        <v>46229</v>
      </c>
      <c r="F421" t="inlineStr">
        <is>
          <t>VÄSTRA GÖTALANDS LÄN</t>
        </is>
      </c>
      <c r="G421" t="inlineStr">
        <is>
          <t>ULRICEHAMN</t>
        </is>
      </c>
      <c r="H421" t="inlineStr">
        <is>
          <t>Kommuner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21878-2026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46150</v>
      </c>
      <c r="E422" s="1" t="n">
        <v>46229</v>
      </c>
      <c r="F422" t="inlineStr">
        <is>
          <t>VÄSTRA GÖTALANDS LÄN</t>
        </is>
      </c>
      <c r="G422" t="inlineStr">
        <is>
          <t>ULRICEHAMN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46229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46229</v>
      </c>
      <c r="F424" t="inlineStr">
        <is>
          <t>VÄSTRA GÖTALANDS LÄN</t>
        </is>
      </c>
      <c r="G424" t="inlineStr">
        <is>
          <t>ULRICEHAMN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45395</v>
      </c>
      <c r="E425" s="1" t="n">
        <v>46229</v>
      </c>
      <c r="F425" t="inlineStr">
        <is>
          <t>VÄSTRA GÖTALANDS LÄN</t>
        </is>
      </c>
      <c r="G425" t="inlineStr">
        <is>
          <t>ULRICEHAMN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46229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46229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38986-2023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46229</v>
      </c>
      <c r="F428" t="inlineStr">
        <is>
          <t>VÄSTRA GÖTALANDS LÄN</t>
        </is>
      </c>
      <c r="G428" t="inlineStr">
        <is>
          <t>ULRICEHAMN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46229</v>
      </c>
      <c r="F429" t="inlineStr">
        <is>
          <t>VÄSTRA GÖTALANDS LÄN</t>
        </is>
      </c>
      <c r="G429" t="inlineStr">
        <is>
          <t>ULRICEHAMN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45560</v>
      </c>
      <c r="E430" s="1" t="n">
        <v>46229</v>
      </c>
      <c r="F430" t="inlineStr">
        <is>
          <t>VÄSTRA GÖTALANDS LÄN</t>
        </is>
      </c>
      <c r="G430" t="inlineStr">
        <is>
          <t>ULRICEHAMN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46229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46229</v>
      </c>
      <c r="F432" t="inlineStr">
        <is>
          <t>VÄSTRA GÖTALANDS LÄN</t>
        </is>
      </c>
      <c r="G432" t="inlineStr">
        <is>
          <t>ULRICEHAMN</t>
        </is>
      </c>
      <c r="H432" t="inlineStr">
        <is>
          <t>Sveaskog</t>
        </is>
      </c>
      <c r="I432" t="n">
        <v>27.9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46229</v>
      </c>
      <c r="F433" t="inlineStr">
        <is>
          <t>VÄSTRA GÖTALANDS LÄN</t>
        </is>
      </c>
      <c r="G433" t="inlineStr">
        <is>
          <t>ULRICEHAMN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46229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45994</v>
      </c>
      <c r="E435" s="1" t="n">
        <v>46229</v>
      </c>
      <c r="F435" t="inlineStr">
        <is>
          <t>VÄSTRA GÖTALANDS LÄN</t>
        </is>
      </c>
      <c r="G435" t="inlineStr">
        <is>
          <t>ULRICEHAMN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45994</v>
      </c>
      <c r="E436" s="1" t="n">
        <v>46229</v>
      </c>
      <c r="F436" t="inlineStr">
        <is>
          <t>VÄSTRA GÖTALANDS LÄN</t>
        </is>
      </c>
      <c r="G436" t="inlineStr">
        <is>
          <t>ULRICEHAMN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45994</v>
      </c>
      <c r="E437" s="1" t="n">
        <v>46229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45698</v>
      </c>
      <c r="E438" s="1" t="n">
        <v>46229</v>
      </c>
      <c r="F438" t="inlineStr">
        <is>
          <t>VÄSTRA GÖTALANDS LÄN</t>
        </is>
      </c>
      <c r="G438" t="inlineStr">
        <is>
          <t>ULRICEHAMN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46229</v>
      </c>
      <c r="F439" t="inlineStr">
        <is>
          <t>VÄSTRA GÖTALANDS LÄN</t>
        </is>
      </c>
      <c r="G439" t="inlineStr">
        <is>
          <t>ULRICEHAMN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60704-2025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45996</v>
      </c>
      <c r="E440" s="1" t="n">
        <v>46229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36096-2024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45533</v>
      </c>
      <c r="E441" s="1" t="n">
        <v>46229</v>
      </c>
      <c r="F441" t="inlineStr">
        <is>
          <t>VÄSTRA GÖTALANDS LÄN</t>
        </is>
      </c>
      <c r="G441" t="inlineStr">
        <is>
          <t>ULRICEHAMN</t>
        </is>
      </c>
      <c r="I441" t="n">
        <v>12.5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46229</v>
      </c>
      <c r="F442" t="inlineStr">
        <is>
          <t>VÄSTRA GÖTALANDS LÄN</t>
        </is>
      </c>
      <c r="G442" t="inlineStr">
        <is>
          <t>ULRICEHAMN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46229</v>
      </c>
      <c r="F443" t="inlineStr">
        <is>
          <t>VÄSTRA GÖTALANDS LÄN</t>
        </is>
      </c>
      <c r="G443" t="inlineStr">
        <is>
          <t>ULRICEHAMN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45140</v>
      </c>
      <c r="E444" s="1" t="n">
        <v>46229</v>
      </c>
      <c r="F444" t="inlineStr">
        <is>
          <t>VÄSTRA GÖTALANDS LÄN</t>
        </is>
      </c>
      <c r="G444" t="inlineStr">
        <is>
          <t>ULRICEHAMN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46001</v>
      </c>
      <c r="E445" s="1" t="n">
        <v>46229</v>
      </c>
      <c r="F445" t="inlineStr">
        <is>
          <t>VÄSTRA GÖTALANDS LÄN</t>
        </is>
      </c>
      <c r="G445" t="inlineStr">
        <is>
          <t>ULRICEHAMN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51200-2024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46229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45626</v>
      </c>
      <c r="E447" s="1" t="n">
        <v>46229</v>
      </c>
      <c r="F447" t="inlineStr">
        <is>
          <t>VÄSTRA GÖTALANDS LÄN</t>
        </is>
      </c>
      <c r="G447" t="inlineStr">
        <is>
          <t>ULRICEHAMN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46229</v>
      </c>
      <c r="F448" t="inlineStr">
        <is>
          <t>VÄSTRA GÖTALANDS LÄN</t>
        </is>
      </c>
      <c r="G448" t="inlineStr">
        <is>
          <t>ULRICEHAMN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38180-2023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46229</v>
      </c>
      <c r="F449" t="inlineStr">
        <is>
          <t>VÄSTRA GÖTALANDS LÄN</t>
        </is>
      </c>
      <c r="G449" t="inlineStr">
        <is>
          <t>ULRICEHAMN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46229</v>
      </c>
      <c r="F450" t="inlineStr">
        <is>
          <t>VÄSTRA GÖTALANDS LÄN</t>
        </is>
      </c>
      <c r="G450" t="inlineStr">
        <is>
          <t>ULRICEHAMN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44626</v>
      </c>
      <c r="E451" s="1" t="n">
        <v>46229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46229</v>
      </c>
      <c r="F452" t="inlineStr">
        <is>
          <t>VÄSTRA GÖTALANDS LÄN</t>
        </is>
      </c>
      <c r="G452" t="inlineStr">
        <is>
          <t>ULRICEHAMN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45691</v>
      </c>
      <c r="E453" s="1" t="n">
        <v>46229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14919-2024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45398</v>
      </c>
      <c r="E454" s="1" t="n">
        <v>46229</v>
      </c>
      <c r="F454" t="inlineStr">
        <is>
          <t>VÄSTRA GÖTALANDS LÄN</t>
        </is>
      </c>
      <c r="G454" t="inlineStr">
        <is>
          <t>ULRICEHAMN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45691</v>
      </c>
      <c r="E455" s="1" t="n">
        <v>46229</v>
      </c>
      <c r="F455" t="inlineStr">
        <is>
          <t>VÄSTRA GÖTALANDS LÄN</t>
        </is>
      </c>
      <c r="G455" t="inlineStr">
        <is>
          <t>ULRICEHAMN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6320-2025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45698</v>
      </c>
      <c r="E456" s="1" t="n">
        <v>46229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9581-2025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45715</v>
      </c>
      <c r="E457" s="1" t="n">
        <v>46229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46229</v>
      </c>
      <c r="F458" t="inlineStr">
        <is>
          <t>VÄSTRA GÖTALANDS LÄN</t>
        </is>
      </c>
      <c r="G458" t="inlineStr">
        <is>
          <t>ULRICEHAMN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4759-2025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45688</v>
      </c>
      <c r="E459" s="1" t="n">
        <v>46229</v>
      </c>
      <c r="F459" t="inlineStr">
        <is>
          <t>VÄSTRA GÖTALANDS LÄN</t>
        </is>
      </c>
      <c r="G459" t="inlineStr">
        <is>
          <t>ULRICEHAMN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45699</v>
      </c>
      <c r="E460" s="1" t="n">
        <v>46229</v>
      </c>
      <c r="F460" t="inlineStr">
        <is>
          <t>VÄSTRA GÖTALANDS LÄN</t>
        </is>
      </c>
      <c r="G460" t="inlineStr">
        <is>
          <t>ULRICEHAMN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44971</v>
      </c>
      <c r="E461" s="1" t="n">
        <v>46229</v>
      </c>
      <c r="F461" t="inlineStr">
        <is>
          <t>VÄSTRA GÖTALANDS LÄN</t>
        </is>
      </c>
      <c r="G461" t="inlineStr">
        <is>
          <t>ULRICEHAMN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45701</v>
      </c>
      <c r="E462" s="1" t="n">
        <v>46229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65400-2021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44515</v>
      </c>
      <c r="E463" s="1" t="n">
        <v>46229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46229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46229</v>
      </c>
      <c r="F465" t="inlineStr">
        <is>
          <t>VÄSTRA GÖTALANDS LÄN</t>
        </is>
      </c>
      <c r="G465" t="inlineStr">
        <is>
          <t>ULRICEHAMN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45199</v>
      </c>
      <c r="E466" s="1" t="n">
        <v>46229</v>
      </c>
      <c r="F466" t="inlineStr">
        <is>
          <t>VÄSTRA GÖTALANDS LÄN</t>
        </is>
      </c>
      <c r="G466" t="inlineStr">
        <is>
          <t>ULRICEHAMN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45043</v>
      </c>
      <c r="E467" s="1" t="n">
        <v>46229</v>
      </c>
      <c r="F467" t="inlineStr">
        <is>
          <t>VÄSTRA GÖTALANDS LÄN</t>
        </is>
      </c>
      <c r="G467" t="inlineStr">
        <is>
          <t>ULRICEHAMN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22480-2023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45071</v>
      </c>
      <c r="E468" s="1" t="n">
        <v>46229</v>
      </c>
      <c r="F468" t="inlineStr">
        <is>
          <t>VÄSTRA GÖTALANDS LÄN</t>
        </is>
      </c>
      <c r="G468" t="inlineStr">
        <is>
          <t>ULRICEHAMN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45427</v>
      </c>
      <c r="E469" s="1" t="n">
        <v>46229</v>
      </c>
      <c r="F469" t="inlineStr">
        <is>
          <t>VÄSTRA GÖTALANDS LÄN</t>
        </is>
      </c>
      <c r="G469" t="inlineStr">
        <is>
          <t>ULRICEHAMN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39454-2023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46229</v>
      </c>
      <c r="F470" t="inlineStr">
        <is>
          <t>VÄSTRA GÖTALANDS LÄN</t>
        </is>
      </c>
      <c r="G470" t="inlineStr">
        <is>
          <t>ULRICEHAMN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42205-2022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44830</v>
      </c>
      <c r="E471" s="1" t="n">
        <v>46229</v>
      </c>
      <c r="F471" t="inlineStr">
        <is>
          <t>VÄSTRA GÖTALANDS LÄN</t>
        </is>
      </c>
      <c r="G471" t="inlineStr">
        <is>
          <t>ULRICEHAMN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45691</v>
      </c>
      <c r="E472" s="1" t="n">
        <v>46229</v>
      </c>
      <c r="F472" t="inlineStr">
        <is>
          <t>VÄSTRA GÖTALANDS LÄN</t>
        </is>
      </c>
      <c r="G472" t="inlineStr">
        <is>
          <t>ULRICEHAMN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46229</v>
      </c>
      <c r="F473" t="inlineStr">
        <is>
          <t>VÄSTRA GÖTALANDS LÄN</t>
        </is>
      </c>
      <c r="G473" t="inlineStr">
        <is>
          <t>ULRICEHAMN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44965</v>
      </c>
      <c r="E474" s="1" t="n">
        <v>46229</v>
      </c>
      <c r="F474" t="inlineStr">
        <is>
          <t>VÄSTRA GÖTALANDS LÄN</t>
        </is>
      </c>
      <c r="G474" t="inlineStr">
        <is>
          <t>ULRICEHAMN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45961</v>
      </c>
      <c r="E475" s="1" t="n">
        <v>46229</v>
      </c>
      <c r="F475" t="inlineStr">
        <is>
          <t>VÄSTRA GÖTALANDS LÄN</t>
        </is>
      </c>
      <c r="G475" t="inlineStr">
        <is>
          <t>ULRICEHAMN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46229</v>
      </c>
      <c r="F476" t="inlineStr">
        <is>
          <t>VÄSTRA GÖTALANDS LÄN</t>
        </is>
      </c>
      <c r="G476" t="inlineStr">
        <is>
          <t>ULRICEHAMN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46229</v>
      </c>
      <c r="F477" t="inlineStr">
        <is>
          <t>VÄSTRA GÖTALANDS LÄN</t>
        </is>
      </c>
      <c r="G477" t="inlineStr">
        <is>
          <t>ULRICEHAMN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46229</v>
      </c>
      <c r="F478" t="inlineStr">
        <is>
          <t>VÄSTRA GÖTALANDS LÄN</t>
        </is>
      </c>
      <c r="G478" t="inlineStr">
        <is>
          <t>ULRICEHAMN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45601</v>
      </c>
      <c r="E479" s="1" t="n">
        <v>46229</v>
      </c>
      <c r="F479" t="inlineStr">
        <is>
          <t>VÄSTRA GÖTALANDS LÄN</t>
        </is>
      </c>
      <c r="G479" t="inlineStr">
        <is>
          <t>ULRICEHAMN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64282-2023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45280</v>
      </c>
      <c r="E480" s="1" t="n">
        <v>46229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30912-2024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45498</v>
      </c>
      <c r="E481" s="1" t="n">
        <v>46229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46493-2023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45197</v>
      </c>
      <c r="E482" s="1" t="n">
        <v>46229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46229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45357</v>
      </c>
      <c r="E484" s="1" t="n">
        <v>46229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Sveaskog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46229</v>
      </c>
      <c r="F485" t="inlineStr">
        <is>
          <t>VÄSTRA GÖTALANDS LÄN</t>
        </is>
      </c>
      <c r="G485" t="inlineStr">
        <is>
          <t>ULRICEHAMN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45009</v>
      </c>
      <c r="E486" s="1" t="n">
        <v>46229</v>
      </c>
      <c r="F486" t="inlineStr">
        <is>
          <t>VÄSTRA GÖTALANDS LÄN</t>
        </is>
      </c>
      <c r="G486" t="inlineStr">
        <is>
          <t>ULRICEHAMN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46229</v>
      </c>
      <c r="F487" t="inlineStr">
        <is>
          <t>VÄSTRA GÖTALANDS LÄN</t>
        </is>
      </c>
      <c r="G487" t="inlineStr">
        <is>
          <t>ULRICEHAMN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44530</v>
      </c>
      <c r="E488" s="1" t="n">
        <v>46229</v>
      </c>
      <c r="F488" t="inlineStr">
        <is>
          <t>VÄSTRA GÖTALANDS LÄN</t>
        </is>
      </c>
      <c r="G488" t="inlineStr">
        <is>
          <t>ULRICEHAMN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45407</v>
      </c>
      <c r="E489" s="1" t="n">
        <v>46229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45471</v>
      </c>
      <c r="E490" s="1" t="n">
        <v>46229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46310-2022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46229</v>
      </c>
      <c r="F491" t="inlineStr">
        <is>
          <t>VÄSTRA GÖTALANDS LÄN</t>
        </is>
      </c>
      <c r="G491" t="inlineStr">
        <is>
          <t>ULRICEHAMN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38340-2022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44812</v>
      </c>
      <c r="E492" s="1" t="n">
        <v>46229</v>
      </c>
      <c r="F492" t="inlineStr">
        <is>
          <t>VÄSTRA GÖTALANDS LÄN</t>
        </is>
      </c>
      <c r="G492" t="inlineStr">
        <is>
          <t>ULRICEHAMN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46229</v>
      </c>
      <c r="F493" t="inlineStr">
        <is>
          <t>VÄSTRA GÖTALANDS LÄN</t>
        </is>
      </c>
      <c r="G493" t="inlineStr">
        <is>
          <t>ULRICEHAMN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46229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46229</v>
      </c>
      <c r="F495" t="inlineStr">
        <is>
          <t>VÄSTRA GÖTALANDS LÄN</t>
        </is>
      </c>
      <c r="G495" t="inlineStr">
        <is>
          <t>ULRICEHAMN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44971</v>
      </c>
      <c r="E496" s="1" t="n">
        <v>46229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50500-2024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45601</v>
      </c>
      <c r="E497" s="1" t="n">
        <v>46229</v>
      </c>
      <c r="F497" t="inlineStr">
        <is>
          <t>VÄSTRA GÖTALANDS LÄN</t>
        </is>
      </c>
      <c r="G497" t="inlineStr">
        <is>
          <t>ULRICEHAMN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44685</v>
      </c>
      <c r="E498" s="1" t="n">
        <v>46229</v>
      </c>
      <c r="F498" t="inlineStr">
        <is>
          <t>VÄSTRA GÖTALANDS LÄN</t>
        </is>
      </c>
      <c r="G498" t="inlineStr">
        <is>
          <t>ULRICEHAMN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46229</v>
      </c>
      <c r="F499" t="inlineStr">
        <is>
          <t>VÄSTRA GÖTALANDS LÄN</t>
        </is>
      </c>
      <c r="G499" t="inlineStr">
        <is>
          <t>ULRICEHAMN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45538</v>
      </c>
      <c r="E500" s="1" t="n">
        <v>46229</v>
      </c>
      <c r="F500" t="inlineStr">
        <is>
          <t>VÄSTRA GÖTALANDS LÄN</t>
        </is>
      </c>
      <c r="G500" t="inlineStr">
        <is>
          <t>ULRICEHAMN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46229</v>
      </c>
      <c r="F501" t="inlineStr">
        <is>
          <t>VÄSTRA GÖTALANDS LÄN</t>
        </is>
      </c>
      <c r="G501" t="inlineStr">
        <is>
          <t>ULRICEHAMN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45320</v>
      </c>
      <c r="E502" s="1" t="n">
        <v>46229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46229</v>
      </c>
      <c r="F503" t="inlineStr">
        <is>
          <t>VÄSTRA GÖTALANDS LÄN</t>
        </is>
      </c>
      <c r="G503" t="inlineStr">
        <is>
          <t>ULRICEHAMN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31212-2022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44771</v>
      </c>
      <c r="E504" s="1" t="n">
        <v>46229</v>
      </c>
      <c r="F504" t="inlineStr">
        <is>
          <t>VÄSTRA GÖTALANDS LÄN</t>
        </is>
      </c>
      <c r="G504" t="inlineStr">
        <is>
          <t>ULRICEHAMN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46229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46229</v>
      </c>
      <c r="F506" t="inlineStr">
        <is>
          <t>VÄSTRA GÖTALANDS LÄN</t>
        </is>
      </c>
      <c r="G506" t="inlineStr">
        <is>
          <t>ULRICEHAMN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39343-2022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44817</v>
      </c>
      <c r="E507" s="1" t="n">
        <v>46229</v>
      </c>
      <c r="F507" t="inlineStr">
        <is>
          <t>VÄSTRA GÖTALANDS LÄN</t>
        </is>
      </c>
      <c r="G507" t="inlineStr">
        <is>
          <t>ULRICEHAMN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46229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45070</v>
      </c>
      <c r="E509" s="1" t="n">
        <v>46229</v>
      </c>
      <c r="F509" t="inlineStr">
        <is>
          <t>VÄSTRA GÖTALANDS LÄN</t>
        </is>
      </c>
      <c r="G509" t="inlineStr">
        <is>
          <t>ULRICEHAMN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46229</v>
      </c>
      <c r="F510" t="inlineStr">
        <is>
          <t>VÄSTRA GÖTALANDS LÄN</t>
        </is>
      </c>
      <c r="G510" t="inlineStr">
        <is>
          <t>ULRICEHAMN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46229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45484</v>
      </c>
      <c r="E512" s="1" t="n">
        <v>46229</v>
      </c>
      <c r="F512" t="inlineStr">
        <is>
          <t>VÄSTRA GÖTALANDS LÄN</t>
        </is>
      </c>
      <c r="G512" t="inlineStr">
        <is>
          <t>ULRICEHAMN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45225</v>
      </c>
      <c r="E513" s="1" t="n">
        <v>46229</v>
      </c>
      <c r="F513" t="inlineStr">
        <is>
          <t>VÄSTRA GÖTALANDS LÄN</t>
        </is>
      </c>
      <c r="G513" t="inlineStr">
        <is>
          <t>ULRICEHAMN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46229</v>
      </c>
      <c r="F514" t="inlineStr">
        <is>
          <t>VÄSTRA GÖTALANDS LÄN</t>
        </is>
      </c>
      <c r="G514" t="inlineStr">
        <is>
          <t>ULRICEHAMN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46229</v>
      </c>
      <c r="F515" t="inlineStr">
        <is>
          <t>VÄSTRA GÖTALANDS LÄN</t>
        </is>
      </c>
      <c r="G515" t="inlineStr">
        <is>
          <t>ULRICEHAMN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46229</v>
      </c>
      <c r="F516" t="inlineStr">
        <is>
          <t>VÄSTRA GÖTALANDS LÄN</t>
        </is>
      </c>
      <c r="G516" t="inlineStr">
        <is>
          <t>ULRICEHAMN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46229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46071</v>
      </c>
      <c r="E518" s="1" t="n">
        <v>46229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46229</v>
      </c>
      <c r="F519" t="inlineStr">
        <is>
          <t>VÄSTRA GÖTALANDS LÄN</t>
        </is>
      </c>
      <c r="G519" t="inlineStr">
        <is>
          <t>ULRICEHAMN</t>
        </is>
      </c>
      <c r="I519" t="n">
        <v>7.7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46229</v>
      </c>
      <c r="F520" t="inlineStr">
        <is>
          <t>VÄSTRA GÖTALANDS LÄN</t>
        </is>
      </c>
      <c r="G520" t="inlineStr">
        <is>
          <t>ULRICEHAMN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10431-2026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46077</v>
      </c>
      <c r="E521" s="1" t="n">
        <v>46229</v>
      </c>
      <c r="F521" t="inlineStr">
        <is>
          <t>VÄSTRA GÖTALANDS LÄN</t>
        </is>
      </c>
      <c r="G521" t="inlineStr">
        <is>
          <t>ULRICEHAMN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46229</v>
      </c>
      <c r="F522" t="inlineStr">
        <is>
          <t>VÄSTRA GÖTALANDS LÄN</t>
        </is>
      </c>
      <c r="G522" t="inlineStr">
        <is>
          <t>ULRICEHAMN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46229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7981-2026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46229</v>
      </c>
      <c r="F524" t="inlineStr">
        <is>
          <t>VÄSTRA GÖTALANDS LÄN</t>
        </is>
      </c>
      <c r="G524" t="inlineStr">
        <is>
          <t>ULRICEHAMN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39464-2023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45166</v>
      </c>
      <c r="E525" s="1" t="n">
        <v>46229</v>
      </c>
      <c r="F525" t="inlineStr">
        <is>
          <t>VÄSTRA GÖTALANDS LÄN</t>
        </is>
      </c>
      <c r="G525" t="inlineStr">
        <is>
          <t>ULRICEHAMN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46229</v>
      </c>
      <c r="F526" t="inlineStr">
        <is>
          <t>VÄSTRA GÖTALANDS LÄN</t>
        </is>
      </c>
      <c r="G526" t="inlineStr">
        <is>
          <t>ULRICEHAMN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39476-2023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45166</v>
      </c>
      <c r="E527" s="1" t="n">
        <v>46229</v>
      </c>
      <c r="F527" t="inlineStr">
        <is>
          <t>VÄSTRA GÖTALANDS LÄN</t>
        </is>
      </c>
      <c r="G527" t="inlineStr">
        <is>
          <t>ULRICEHAMN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52481-2021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44466</v>
      </c>
      <c r="E528" s="1" t="n">
        <v>46229</v>
      </c>
      <c r="F528" t="inlineStr">
        <is>
          <t>VÄSTRA GÖTALANDS LÄN</t>
        </is>
      </c>
      <c r="G528" t="inlineStr">
        <is>
          <t>ULRICEHAMN</t>
        </is>
      </c>
      <c r="I528" t="n">
        <v>11.9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46229</v>
      </c>
      <c r="F529" t="inlineStr">
        <is>
          <t>VÄSTRA GÖTALANDS LÄN</t>
        </is>
      </c>
      <c r="G529" t="inlineStr">
        <is>
          <t>ULRICEHAMN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44959</v>
      </c>
      <c r="E530" s="1" t="n">
        <v>46229</v>
      </c>
      <c r="F530" t="inlineStr">
        <is>
          <t>VÄSTRA GÖTALANDS LÄN</t>
        </is>
      </c>
      <c r="G530" t="inlineStr">
        <is>
          <t>ULRICEHAMN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44882</v>
      </c>
      <c r="E531" s="1" t="n">
        <v>46229</v>
      </c>
      <c r="F531" t="inlineStr">
        <is>
          <t>VÄSTRA GÖTALANDS LÄN</t>
        </is>
      </c>
      <c r="G531" t="inlineStr">
        <is>
          <t>ULRICEHAMN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46229</v>
      </c>
      <c r="F532" t="inlineStr">
        <is>
          <t>VÄSTRA GÖTALANDS LÄN</t>
        </is>
      </c>
      <c r="G532" t="inlineStr">
        <is>
          <t>ULRICEHAMN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46229</v>
      </c>
      <c r="F533" t="inlineStr">
        <is>
          <t>VÄSTRA GÖTALANDS LÄN</t>
        </is>
      </c>
      <c r="G533" t="inlineStr">
        <is>
          <t>ULRICEHAMN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46229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46229</v>
      </c>
      <c r="F535" t="inlineStr">
        <is>
          <t>VÄSTRA GÖTALANDS LÄN</t>
        </is>
      </c>
      <c r="G535" t="inlineStr">
        <is>
          <t>ULRICEHAMN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46229</v>
      </c>
      <c r="F536" t="inlineStr">
        <is>
          <t>VÄSTRA GÖTALANDS LÄN</t>
        </is>
      </c>
      <c r="G536" t="inlineStr">
        <is>
          <t>ULRICEHAMN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45647-2022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44845</v>
      </c>
      <c r="E537" s="1" t="n">
        <v>46229</v>
      </c>
      <c r="F537" t="inlineStr">
        <is>
          <t>VÄSTRA GÖTALANDS LÄN</t>
        </is>
      </c>
      <c r="G537" t="inlineStr">
        <is>
          <t>ULRICEHAMN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46229</v>
      </c>
      <c r="F538" t="inlineStr">
        <is>
          <t>VÄSTRA GÖTALANDS LÄN</t>
        </is>
      </c>
      <c r="G538" t="inlineStr">
        <is>
          <t>ULRICEHAMN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14599-2024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45395</v>
      </c>
      <c r="E539" s="1" t="n">
        <v>46229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46216</v>
      </c>
      <c r="E540" s="1" t="n">
        <v>46229</v>
      </c>
      <c r="F540" t="inlineStr">
        <is>
          <t>VÄSTRA GÖTALANDS LÄN</t>
        </is>
      </c>
      <c r="G540" t="inlineStr">
        <is>
          <t>ULRICEHAMN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46229</v>
      </c>
      <c r="F541" t="inlineStr">
        <is>
          <t>VÄSTRA GÖTALANDS LÄN</t>
        </is>
      </c>
      <c r="G541" t="inlineStr">
        <is>
          <t>ULRICEHAMN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46229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45676</v>
      </c>
      <c r="E543" s="1" t="n">
        <v>46229</v>
      </c>
      <c r="F543" t="inlineStr">
        <is>
          <t>VÄSTRA GÖTALANDS LÄN</t>
        </is>
      </c>
      <c r="G543" t="inlineStr">
        <is>
          <t>ULRICEHAMN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13061-2024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45385</v>
      </c>
      <c r="E544" s="1" t="n">
        <v>46229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45626</v>
      </c>
      <c r="E545" s="1" t="n">
        <v>46229</v>
      </c>
      <c r="F545" t="inlineStr">
        <is>
          <t>VÄSTRA GÖTALANDS LÄN</t>
        </is>
      </c>
      <c r="G545" t="inlineStr">
        <is>
          <t>ULRICEHAMN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45626</v>
      </c>
      <c r="E546" s="1" t="n">
        <v>46229</v>
      </c>
      <c r="F546" t="inlineStr">
        <is>
          <t>VÄSTRA GÖTALANDS LÄN</t>
        </is>
      </c>
      <c r="G546" t="inlineStr">
        <is>
          <t>ULRICEHAMN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45626</v>
      </c>
      <c r="E547" s="1" t="n">
        <v>46229</v>
      </c>
      <c r="F547" t="inlineStr">
        <is>
          <t>VÄSTRA GÖTALANDS LÄN</t>
        </is>
      </c>
      <c r="G547" t="inlineStr">
        <is>
          <t>ULRICEHAMN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19864-2025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45771</v>
      </c>
      <c r="E548" s="1" t="n">
        <v>46229</v>
      </c>
      <c r="F548" t="inlineStr">
        <is>
          <t>VÄSTRA GÖTALANDS LÄN</t>
        </is>
      </c>
      <c r="G548" t="inlineStr">
        <is>
          <t>ULRICEHAMN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46229</v>
      </c>
      <c r="F549" t="inlineStr">
        <is>
          <t>VÄSTRA GÖTALANDS LÄN</t>
        </is>
      </c>
      <c r="G549" t="inlineStr">
        <is>
          <t>ULRICEHAMN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45299</v>
      </c>
      <c r="E550" s="1" t="n">
        <v>46229</v>
      </c>
      <c r="F550" t="inlineStr">
        <is>
          <t>VÄSTRA GÖTALANDS LÄN</t>
        </is>
      </c>
      <c r="G550" t="inlineStr">
        <is>
          <t>ULRICEHAMN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46229</v>
      </c>
      <c r="F551" t="inlineStr">
        <is>
          <t>VÄSTRA GÖTALANDS LÄN</t>
        </is>
      </c>
      <c r="G551" t="inlineStr">
        <is>
          <t>ULRICEHAMN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45320</v>
      </c>
      <c r="E552" s="1" t="n">
        <v>46229</v>
      </c>
      <c r="F552" t="inlineStr">
        <is>
          <t>VÄSTRA GÖTALANDS LÄN</t>
        </is>
      </c>
      <c r="G552" t="inlineStr">
        <is>
          <t>ULRICEHAMN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45224</v>
      </c>
      <c r="E553" s="1" t="n">
        <v>46229</v>
      </c>
      <c r="F553" t="inlineStr">
        <is>
          <t>VÄSTRA GÖTALANDS LÄN</t>
        </is>
      </c>
      <c r="G553" t="inlineStr">
        <is>
          <t>ULRICEHAMN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46229</v>
      </c>
      <c r="F554" t="inlineStr">
        <is>
          <t>VÄSTRA GÖTALANDS LÄN</t>
        </is>
      </c>
      <c r="G554" t="inlineStr">
        <is>
          <t>ULRICEHAMN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46229</v>
      </c>
      <c r="F555" t="inlineStr">
        <is>
          <t>VÄSTRA GÖTALANDS LÄN</t>
        </is>
      </c>
      <c r="G555" t="inlineStr">
        <is>
          <t>ULRICEHAMN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39145-2023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45166</v>
      </c>
      <c r="E556" s="1" t="n">
        <v>46229</v>
      </c>
      <c r="F556" t="inlineStr">
        <is>
          <t>VÄSTRA GÖTALANDS LÄN</t>
        </is>
      </c>
      <c r="G556" t="inlineStr">
        <is>
          <t>ULRICEHAMN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46229</v>
      </c>
      <c r="F557" t="inlineStr">
        <is>
          <t>VÄSTRA GÖTALANDS LÄN</t>
        </is>
      </c>
      <c r="G557" t="inlineStr">
        <is>
          <t>ULRICEHAMN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45190</v>
      </c>
      <c r="E558" s="1" t="n">
        <v>46229</v>
      </c>
      <c r="F558" t="inlineStr">
        <is>
          <t>VÄSTRA GÖTALANDS LÄN</t>
        </is>
      </c>
      <c r="G558" t="inlineStr">
        <is>
          <t>ULRICEHAMN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61908-2021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46229</v>
      </c>
      <c r="F559" t="inlineStr">
        <is>
          <t>VÄSTRA GÖTALANDS LÄN</t>
        </is>
      </c>
      <c r="G559" t="inlineStr">
        <is>
          <t>ULRICEHAMN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46112</v>
      </c>
      <c r="E560" s="1" t="n">
        <v>46229</v>
      </c>
      <c r="F560" t="inlineStr">
        <is>
          <t>VÄSTRA GÖTALANDS LÄN</t>
        </is>
      </c>
      <c r="G560" t="inlineStr">
        <is>
          <t>ULRICEHAMN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46229</v>
      </c>
      <c r="F561" t="inlineStr">
        <is>
          <t>VÄSTRA GÖTALANDS LÄN</t>
        </is>
      </c>
      <c r="G561" t="inlineStr">
        <is>
          <t>ULRICEHAMN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46229</v>
      </c>
      <c r="F562" t="inlineStr">
        <is>
          <t>VÄSTRA GÖTALANDS LÄN</t>
        </is>
      </c>
      <c r="G562" t="inlineStr">
        <is>
          <t>ULRICEHAMN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46229</v>
      </c>
      <c r="F563" t="inlineStr">
        <is>
          <t>VÄSTRA GÖTALANDS LÄN</t>
        </is>
      </c>
      <c r="G563" t="inlineStr">
        <is>
          <t>ULRICEHAMN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42438-2024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45565</v>
      </c>
      <c r="E564" s="1" t="n">
        <v>46229</v>
      </c>
      <c r="F564" t="inlineStr">
        <is>
          <t>VÄSTRA GÖTALANDS LÄN</t>
        </is>
      </c>
      <c r="G564" t="inlineStr">
        <is>
          <t>ULRICEHAMN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45225</v>
      </c>
      <c r="E565" s="1" t="n">
        <v>46229</v>
      </c>
      <c r="F565" t="inlineStr">
        <is>
          <t>VÄSTRA GÖTALANDS LÄN</t>
        </is>
      </c>
      <c r="G565" t="inlineStr">
        <is>
          <t>ULRICEHAMN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52714-2023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45225</v>
      </c>
      <c r="E566" s="1" t="n">
        <v>46229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46114</v>
      </c>
      <c r="E567" s="1" t="n">
        <v>46229</v>
      </c>
      <c r="F567" t="inlineStr">
        <is>
          <t>VÄSTRA GÖTALANDS LÄN</t>
        </is>
      </c>
      <c r="G567" t="inlineStr">
        <is>
          <t>ULRICEHAMN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45250</v>
      </c>
      <c r="E568" s="1" t="n">
        <v>46229</v>
      </c>
      <c r="F568" t="inlineStr">
        <is>
          <t>VÄSTRA GÖTALANDS LÄN</t>
        </is>
      </c>
      <c r="G568" t="inlineStr">
        <is>
          <t>ULRICEHAMN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46118</v>
      </c>
      <c r="E569" s="1" t="n">
        <v>46229</v>
      </c>
      <c r="F569" t="inlineStr">
        <is>
          <t>VÄSTRA GÖTALANDS LÄN</t>
        </is>
      </c>
      <c r="G569" t="inlineStr">
        <is>
          <t>ULRICEHAMN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46229</v>
      </c>
      <c r="F570" t="inlineStr">
        <is>
          <t>VÄSTRA GÖTALANDS LÄN</t>
        </is>
      </c>
      <c r="G570" t="inlineStr">
        <is>
          <t>ULRICEHAMN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46229</v>
      </c>
      <c r="F571" t="inlineStr">
        <is>
          <t>VÄSTRA GÖTALANDS LÄN</t>
        </is>
      </c>
      <c r="G571" t="inlineStr">
        <is>
          <t>ULRICEHAMN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46229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14038-2023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45008</v>
      </c>
      <c r="E573" s="1" t="n">
        <v>46229</v>
      </c>
      <c r="F573" t="inlineStr">
        <is>
          <t>VÄSTRA GÖTALANDS LÄN</t>
        </is>
      </c>
      <c r="G573" t="inlineStr">
        <is>
          <t>ULRICEHAMN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30664-2022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44763</v>
      </c>
      <c r="E574" s="1" t="n">
        <v>46229</v>
      </c>
      <c r="F574" t="inlineStr">
        <is>
          <t>VÄSTRA GÖTALANDS LÄN</t>
        </is>
      </c>
      <c r="G574" t="inlineStr">
        <is>
          <t>ULRICEHAMN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46229</v>
      </c>
      <c r="F575" t="inlineStr">
        <is>
          <t>VÄSTRA GÖTALANDS LÄN</t>
        </is>
      </c>
      <c r="G575" t="inlineStr">
        <is>
          <t>ULRICEHAMN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46229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46223</v>
      </c>
      <c r="E577" s="1" t="n">
        <v>46229</v>
      </c>
      <c r="F577" t="inlineStr">
        <is>
          <t>VÄSTRA GÖTALANDS LÄN</t>
        </is>
      </c>
      <c r="G577" t="inlineStr">
        <is>
          <t>ULRICEHAMN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46229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18079-2026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46125</v>
      </c>
      <c r="E579" s="1" t="n">
        <v>46229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17989-2026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46124</v>
      </c>
      <c r="E580" s="1" t="n">
        <v>46229</v>
      </c>
      <c r="F580" t="inlineStr">
        <is>
          <t>VÄSTRA GÖTALANDS LÄN</t>
        </is>
      </c>
      <c r="G580" t="inlineStr">
        <is>
          <t>ULRICEHAMN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46229</v>
      </c>
      <c r="F581" t="inlineStr">
        <is>
          <t>VÄSTRA GÖTALANDS LÄN</t>
        </is>
      </c>
      <c r="G581" t="inlineStr">
        <is>
          <t>ULRICEHAMN</t>
        </is>
      </c>
      <c r="H581" t="inlineStr">
        <is>
          <t>Kyrkan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46223</v>
      </c>
      <c r="E582" s="1" t="n">
        <v>46229</v>
      </c>
      <c r="F582" t="inlineStr">
        <is>
          <t>VÄSTRA GÖTALANDS LÄN</t>
        </is>
      </c>
      <c r="G582" t="inlineStr">
        <is>
          <t>ULRICEHAMN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46229</v>
      </c>
      <c r="F583" t="inlineStr">
        <is>
          <t>VÄSTRA GÖTALANDS LÄN</t>
        </is>
      </c>
      <c r="G583" t="inlineStr">
        <is>
          <t>ULRICEHAMN</t>
        </is>
      </c>
      <c r="H583" t="inlineStr">
        <is>
          <t>Kyrkan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46229</v>
      </c>
      <c r="F584" t="inlineStr">
        <is>
          <t>VÄSTRA GÖTALANDS LÄN</t>
        </is>
      </c>
      <c r="G584" t="inlineStr">
        <is>
          <t>ULRICEHAMN</t>
        </is>
      </c>
      <c r="H584" t="inlineStr">
        <is>
          <t>Sveaskog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46229</v>
      </c>
      <c r="F585" t="inlineStr">
        <is>
          <t>VÄSTRA GÖTALANDS LÄN</t>
        </is>
      </c>
      <c r="G585" t="inlineStr">
        <is>
          <t>ULRICEHAMN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46229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46229</v>
      </c>
      <c r="F587" t="inlineStr">
        <is>
          <t>VÄSTRA GÖTALANDS LÄN</t>
        </is>
      </c>
      <c r="G587" t="inlineStr">
        <is>
          <t>ULRICEHAMN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45552</v>
      </c>
      <c r="E588" s="1" t="n">
        <v>46229</v>
      </c>
      <c r="F588" t="inlineStr">
        <is>
          <t>VÄSTRA GÖTALANDS LÄN</t>
        </is>
      </c>
      <c r="G588" t="inlineStr">
        <is>
          <t>ULRICEHAMN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45139</v>
      </c>
      <c r="E589" s="1" t="n">
        <v>46229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46229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46224</v>
      </c>
      <c r="E591" s="1" t="n">
        <v>46229</v>
      </c>
      <c r="F591" t="inlineStr">
        <is>
          <t>VÄSTRA GÖTALANDS LÄN</t>
        </is>
      </c>
      <c r="G591" t="inlineStr">
        <is>
          <t>ULRICEHAMN</t>
        </is>
      </c>
      <c r="H591" t="inlineStr">
        <is>
          <t>Kyrkan</t>
        </is>
      </c>
      <c r="I591" t="n">
        <v>9.6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46224</v>
      </c>
      <c r="E592" s="1" t="n">
        <v>46229</v>
      </c>
      <c r="F592" t="inlineStr">
        <is>
          <t>VÄSTRA GÖTALANDS LÄN</t>
        </is>
      </c>
      <c r="G592" t="inlineStr">
        <is>
          <t>ULRICEHAMN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46224</v>
      </c>
      <c r="E593" s="1" t="n">
        <v>46229</v>
      </c>
      <c r="F593" t="inlineStr">
        <is>
          <t>VÄSTRA GÖTALANDS LÄN</t>
        </is>
      </c>
      <c r="G593" t="inlineStr">
        <is>
          <t>ULRICEHAMN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46229</v>
      </c>
      <c r="F594" t="inlineStr">
        <is>
          <t>VÄSTRA GÖTALANDS LÄN</t>
        </is>
      </c>
      <c r="G594" t="inlineStr">
        <is>
          <t>ULRICEHAMN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26350-2022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44735</v>
      </c>
      <c r="E595" s="1" t="n">
        <v>46229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46229</v>
      </c>
      <c r="F596" t="inlineStr">
        <is>
          <t>VÄSTRA GÖTALANDS LÄN</t>
        </is>
      </c>
      <c r="G596" t="inlineStr">
        <is>
          <t>ULRICEHAMN</t>
        </is>
      </c>
      <c r="I596" t="n">
        <v>10.8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46229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46229</v>
      </c>
      <c r="F598" t="inlineStr">
        <is>
          <t>VÄSTRA GÖTALANDS LÄN</t>
        </is>
      </c>
      <c r="G598" t="inlineStr">
        <is>
          <t>ULRICEHAMN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46229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31749-2026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46227</v>
      </c>
      <c r="E600" s="1" t="n">
        <v>46229</v>
      </c>
      <c r="F600" t="inlineStr">
        <is>
          <t>VÄSTRA GÖTALANDS LÄN</t>
        </is>
      </c>
      <c r="G600" t="inlineStr">
        <is>
          <t>ULRICEHAMN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46229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46229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46229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12169-2024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45377</v>
      </c>
      <c r="E604" s="1" t="n">
        <v>46229</v>
      </c>
      <c r="F604" t="inlineStr">
        <is>
          <t>VÄSTRA GÖTALANDS LÄN</t>
        </is>
      </c>
      <c r="G604" t="inlineStr">
        <is>
          <t>ULRICEHAMN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46229</v>
      </c>
      <c r="F605" t="inlineStr">
        <is>
          <t>VÄSTRA GÖTALANDS LÄN</t>
        </is>
      </c>
      <c r="G605" t="inlineStr">
        <is>
          <t>ULRICEHAMN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46229</v>
      </c>
      <c r="F606" t="inlineStr">
        <is>
          <t>VÄSTRA GÖTALANDS LÄN</t>
        </is>
      </c>
      <c r="G606" t="inlineStr">
        <is>
          <t>ULRICEHAMN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48196-2022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46229</v>
      </c>
      <c r="F607" t="inlineStr">
        <is>
          <t>VÄSTRA GÖTALANDS LÄN</t>
        </is>
      </c>
      <c r="G607" t="inlineStr">
        <is>
          <t>ULRICEHAMN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9879-2024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45363</v>
      </c>
      <c r="E608" s="1" t="n">
        <v>46229</v>
      </c>
      <c r="F608" t="inlineStr">
        <is>
          <t>VÄSTRA GÖTALANDS LÄN</t>
        </is>
      </c>
      <c r="G608" t="inlineStr">
        <is>
          <t>ULRICEHAMN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46229</v>
      </c>
      <c r="F609" t="inlineStr">
        <is>
          <t>VÄSTRA GÖTALANDS LÄN</t>
        </is>
      </c>
      <c r="G609" t="inlineStr">
        <is>
          <t>ULRICEHAMN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45590</v>
      </c>
      <c r="E610" s="1" t="n">
        <v>46229</v>
      </c>
      <c r="F610" t="inlineStr">
        <is>
          <t>VÄSTRA GÖTALANDS LÄN</t>
        </is>
      </c>
      <c r="G610" t="inlineStr">
        <is>
          <t>ULRICEHAMN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44402-2024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45573</v>
      </c>
      <c r="E611" s="1" t="n">
        <v>46229</v>
      </c>
      <c r="F611" t="inlineStr">
        <is>
          <t>VÄSTRA GÖTALANDS LÄN</t>
        </is>
      </c>
      <c r="G611" t="inlineStr">
        <is>
          <t>ULRICEHAMN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53088-2023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45227</v>
      </c>
      <c r="E612" s="1" t="n">
        <v>46229</v>
      </c>
      <c r="F612" t="inlineStr">
        <is>
          <t>VÄSTRA GÖTALANDS LÄN</t>
        </is>
      </c>
      <c r="G612" t="inlineStr">
        <is>
          <t>ULRICEHAMN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46229</v>
      </c>
      <c r="F613" t="inlineStr">
        <is>
          <t>VÄSTRA GÖTALANDS LÄN</t>
        </is>
      </c>
      <c r="G613" t="inlineStr">
        <is>
          <t>ULRICEHAMN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59990-2023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45257</v>
      </c>
      <c r="E614" s="1" t="n">
        <v>46229</v>
      </c>
      <c r="F614" t="inlineStr">
        <is>
          <t>VÄSTRA GÖTALANDS LÄN</t>
        </is>
      </c>
      <c r="G614" t="inlineStr">
        <is>
          <t>ULRICEHAMN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45691</v>
      </c>
      <c r="E615" s="1" t="n">
        <v>46229</v>
      </c>
      <c r="F615" t="inlineStr">
        <is>
          <t>VÄSTRA GÖTALANDS LÄN</t>
        </is>
      </c>
      <c r="G615" t="inlineStr">
        <is>
          <t>ULRICEHAMN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16680-2024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45408</v>
      </c>
      <c r="E616" s="1" t="n">
        <v>46229</v>
      </c>
      <c r="F616" t="inlineStr">
        <is>
          <t>VÄSTRA GÖTALANDS LÄN</t>
        </is>
      </c>
      <c r="G616" t="inlineStr">
        <is>
          <t>ULRICEHAMN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5471-2024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45332</v>
      </c>
      <c r="E617" s="1" t="n">
        <v>46229</v>
      </c>
      <c r="F617" t="inlineStr">
        <is>
          <t>VÄSTRA GÖTALANDS LÄN</t>
        </is>
      </c>
      <c r="G617" t="inlineStr">
        <is>
          <t>ULRICEHAMN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45134</v>
      </c>
      <c r="E618" s="1" t="n">
        <v>46229</v>
      </c>
      <c r="F618" t="inlineStr">
        <is>
          <t>VÄSTRA GÖTALANDS LÄN</t>
        </is>
      </c>
      <c r="G618" t="inlineStr">
        <is>
          <t>ULRICEHAMN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44593</v>
      </c>
      <c r="E619" s="1" t="n">
        <v>46229</v>
      </c>
      <c r="F619" t="inlineStr">
        <is>
          <t>VÄSTRA GÖTALANDS LÄN</t>
        </is>
      </c>
      <c r="G619" t="inlineStr">
        <is>
          <t>ULRICEHAMN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56295-2023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45242</v>
      </c>
      <c r="E620" s="1" t="n">
        <v>46229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37685-2022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44810</v>
      </c>
      <c r="E621" s="1" t="n">
        <v>46229</v>
      </c>
      <c r="F621" t="inlineStr">
        <is>
          <t>VÄSTRA GÖTALANDS LÄN</t>
        </is>
      </c>
      <c r="G621" t="inlineStr">
        <is>
          <t>ULRICEHAMN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45427</v>
      </c>
      <c r="E622" s="1" t="n">
        <v>46229</v>
      </c>
      <c r="F622" t="inlineStr">
        <is>
          <t>VÄSTRA GÖTALANDS LÄN</t>
        </is>
      </c>
      <c r="G622" t="inlineStr">
        <is>
          <t>ULRICEHAMN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57571-2023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46229</v>
      </c>
      <c r="F623" t="inlineStr">
        <is>
          <t>VÄSTRA GÖTALANDS LÄN</t>
        </is>
      </c>
      <c r="G623" t="inlineStr">
        <is>
          <t>ULRICEHAMN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27865-2023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46229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45272</v>
      </c>
      <c r="E625" s="1" t="n">
        <v>46229</v>
      </c>
      <c r="F625" t="inlineStr">
        <is>
          <t>VÄSTRA GÖTALANDS LÄN</t>
        </is>
      </c>
      <c r="G625" t="inlineStr">
        <is>
          <t>ULRICEHAMN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25070-2023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45086</v>
      </c>
      <c r="E626" s="1" t="n">
        <v>46229</v>
      </c>
      <c r="F626" t="inlineStr">
        <is>
          <t>VÄSTRA GÖTALANDS LÄN</t>
        </is>
      </c>
      <c r="G626" t="inlineStr">
        <is>
          <t>ULRICEHAMN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46229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51392-2024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45604</v>
      </c>
      <c r="E628" s="1" t="n">
        <v>46229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46229</v>
      </c>
      <c r="F629" t="inlineStr">
        <is>
          <t>VÄSTRA GÖTALANDS LÄN</t>
        </is>
      </c>
      <c r="G629" t="inlineStr">
        <is>
          <t>ULRICEHAMN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44642</v>
      </c>
      <c r="E630" s="1" t="n">
        <v>46229</v>
      </c>
      <c r="F630" t="inlineStr">
        <is>
          <t>VÄSTRA GÖTALANDS LÄN</t>
        </is>
      </c>
      <c r="G630" t="inlineStr">
        <is>
          <t>ULRICEHAMN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63265-2023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45273</v>
      </c>
      <c r="E631" s="1" t="n">
        <v>46229</v>
      </c>
      <c r="F631" t="inlineStr">
        <is>
          <t>VÄSTRA GÖTALANDS LÄN</t>
        </is>
      </c>
      <c r="G631" t="inlineStr">
        <is>
          <t>ULRICEHAMN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45059</v>
      </c>
      <c r="E632" s="1" t="n">
        <v>46229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45059</v>
      </c>
      <c r="E633" s="1" t="n">
        <v>46229</v>
      </c>
      <c r="F633" t="inlineStr">
        <is>
          <t>VÄSTRA GÖTALANDS LÄN</t>
        </is>
      </c>
      <c r="G633" t="inlineStr">
        <is>
          <t>ULRICEHAMN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40031-2023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45168</v>
      </c>
      <c r="E634" s="1" t="n">
        <v>46229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40035-2023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45168</v>
      </c>
      <c r="E635" s="1" t="n">
        <v>46229</v>
      </c>
      <c r="F635" t="inlineStr">
        <is>
          <t>VÄSTRA GÖTALANDS LÄN</t>
        </is>
      </c>
      <c r="G635" t="inlineStr">
        <is>
          <t>ULRICEHAMN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17870-2023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45038</v>
      </c>
      <c r="E636" s="1" t="n">
        <v>46229</v>
      </c>
      <c r="F636" t="inlineStr">
        <is>
          <t>VÄSTRA GÖTALANDS LÄN</t>
        </is>
      </c>
      <c r="G636" t="inlineStr">
        <is>
          <t>ULRICEHAMN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59985-2022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44909</v>
      </c>
      <c r="E637" s="1" t="n">
        <v>46229</v>
      </c>
      <c r="F637" t="inlineStr">
        <is>
          <t>VÄSTRA GÖTALANDS LÄN</t>
        </is>
      </c>
      <c r="G637" t="inlineStr">
        <is>
          <t>ULRICEHAMN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45750</v>
      </c>
      <c r="E638" s="1" t="n">
        <v>46229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45745</v>
      </c>
      <c r="E639" s="1" t="n">
        <v>46229</v>
      </c>
      <c r="F639" t="inlineStr">
        <is>
          <t>VÄSTRA GÖTALANDS LÄN</t>
        </is>
      </c>
      <c r="G639" t="inlineStr">
        <is>
          <t>ULRICEHAMN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52713-2023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45225</v>
      </c>
      <c r="E640" s="1" t="n">
        <v>46229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46229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44967</v>
      </c>
      <c r="E642" s="1" t="n">
        <v>46229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45643</v>
      </c>
      <c r="E643" s="1" t="n">
        <v>46229</v>
      </c>
      <c r="F643" t="inlineStr">
        <is>
          <t>VÄSTRA GÖTALANDS LÄN</t>
        </is>
      </c>
      <c r="G643" t="inlineStr">
        <is>
          <t>ULRICEHAMN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18201-2023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45041</v>
      </c>
      <c r="E644" s="1" t="n">
        <v>46229</v>
      </c>
      <c r="F644" t="inlineStr">
        <is>
          <t>VÄSTRA GÖTALANDS LÄN</t>
        </is>
      </c>
      <c r="G644" t="inlineStr">
        <is>
          <t>ULRICEHAMN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60992-2021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44497</v>
      </c>
      <c r="E645" s="1" t="n">
        <v>46229</v>
      </c>
      <c r="F645" t="inlineStr">
        <is>
          <t>VÄSTRA GÖTALANDS LÄN</t>
        </is>
      </c>
      <c r="G645" t="inlineStr">
        <is>
          <t>ULRICEHAMN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25769-2023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46229</v>
      </c>
      <c r="F646" t="inlineStr">
        <is>
          <t>VÄSTRA GÖTALANDS LÄN</t>
        </is>
      </c>
      <c r="G646" t="inlineStr">
        <is>
          <t>ULRICEHAMN</t>
        </is>
      </c>
      <c r="I646" t="n">
        <v>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49912-2021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44455</v>
      </c>
      <c r="E647" s="1" t="n">
        <v>46229</v>
      </c>
      <c r="F647" t="inlineStr">
        <is>
          <t>VÄSTRA GÖTALANDS LÄN</t>
        </is>
      </c>
      <c r="G647" t="inlineStr">
        <is>
          <t>ULRICEHAMN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16577-2022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44672</v>
      </c>
      <c r="E648" s="1" t="n">
        <v>46229</v>
      </c>
      <c r="F648" t="inlineStr">
        <is>
          <t>VÄSTRA GÖTALANDS LÄN</t>
        </is>
      </c>
      <c r="G648" t="inlineStr">
        <is>
          <t>ULRICEHAMN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48986-2023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45209</v>
      </c>
      <c r="E649" s="1" t="n">
        <v>46229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8670-2022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44613</v>
      </c>
      <c r="E650" s="1" t="n">
        <v>46229</v>
      </c>
      <c r="F650" t="inlineStr">
        <is>
          <t>VÄSTRA GÖTALANDS LÄN</t>
        </is>
      </c>
      <c r="G650" t="inlineStr">
        <is>
          <t>ULRICEHAMN</t>
        </is>
      </c>
      <c r="H650" t="inlineStr">
        <is>
          <t>Sveaskog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45544</v>
      </c>
      <c r="E651" s="1" t="n">
        <v>46229</v>
      </c>
      <c r="F651" t="inlineStr">
        <is>
          <t>VÄSTRA GÖTALANDS LÄN</t>
        </is>
      </c>
      <c r="G651" t="inlineStr">
        <is>
          <t>ULRICEHAMN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37515-2023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45158</v>
      </c>
      <c r="E652" s="1" t="n">
        <v>46229</v>
      </c>
      <c r="F652" t="inlineStr">
        <is>
          <t>VÄSTRA GÖTALANDS LÄN</t>
        </is>
      </c>
      <c r="G652" t="inlineStr">
        <is>
          <t>ULRICEHAMN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45428</v>
      </c>
      <c r="E653" s="1" t="n">
        <v>46229</v>
      </c>
      <c r="F653" t="inlineStr">
        <is>
          <t>VÄSTRA GÖTALANDS LÄN</t>
        </is>
      </c>
      <c r="G653" t="inlineStr">
        <is>
          <t>ULRICEHAMN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46229</v>
      </c>
      <c r="F654" t="inlineStr">
        <is>
          <t>VÄSTRA GÖTALANDS LÄN</t>
        </is>
      </c>
      <c r="G654" t="inlineStr">
        <is>
          <t>ULRICEHAMN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27255-2024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45471</v>
      </c>
      <c r="E655" s="1" t="n">
        <v>46229</v>
      </c>
      <c r="F655" t="inlineStr">
        <is>
          <t>VÄSTRA GÖTALANDS LÄN</t>
        </is>
      </c>
      <c r="G655" t="inlineStr">
        <is>
          <t>ULRICEHAMN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44658</v>
      </c>
      <c r="E656" s="1" t="n">
        <v>46229</v>
      </c>
      <c r="F656" t="inlineStr">
        <is>
          <t>VÄSTRA GÖTALANDS LÄN</t>
        </is>
      </c>
      <c r="G656" t="inlineStr">
        <is>
          <t>ULRICEHAMN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58560-2021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44488</v>
      </c>
      <c r="E657" s="1" t="n">
        <v>46229</v>
      </c>
      <c r="F657" t="inlineStr">
        <is>
          <t>VÄSTRA GÖTALANDS LÄN</t>
        </is>
      </c>
      <c r="G657" t="inlineStr">
        <is>
          <t>ULRICEHAMN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46229</v>
      </c>
      <c r="F658" t="inlineStr">
        <is>
          <t>VÄSTRA GÖTALANDS LÄN</t>
        </is>
      </c>
      <c r="G658" t="inlineStr">
        <is>
          <t>ULRICEHAMN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40444-2021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44419</v>
      </c>
      <c r="E659" s="1" t="n">
        <v>46229</v>
      </c>
      <c r="F659" t="inlineStr">
        <is>
          <t>VÄSTRA GÖTALANDS LÄN</t>
        </is>
      </c>
      <c r="G659" t="inlineStr">
        <is>
          <t>ULRICEHAMN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46229</v>
      </c>
      <c r="F660" t="inlineStr">
        <is>
          <t>VÄSTRA GÖTALANDS LÄN</t>
        </is>
      </c>
      <c r="G660" t="inlineStr">
        <is>
          <t>ULRICEHAMN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55455-2023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46229</v>
      </c>
      <c r="F661" t="inlineStr">
        <is>
          <t>VÄSTRA GÖTALANDS LÄN</t>
        </is>
      </c>
      <c r="G661" t="inlineStr">
        <is>
          <t>ULRICEHAMN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21314-2025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46229</v>
      </c>
      <c r="F662" t="inlineStr">
        <is>
          <t>VÄSTRA GÖTALANDS LÄN</t>
        </is>
      </c>
      <c r="G662" t="inlineStr">
        <is>
          <t>ULRICEHAMN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45785</v>
      </c>
      <c r="E663" s="1" t="n">
        <v>46229</v>
      </c>
      <c r="F663" t="inlineStr">
        <is>
          <t>VÄSTRA GÖTALANDS LÄN</t>
        </is>
      </c>
      <c r="G663" t="inlineStr">
        <is>
          <t>ULRICEHAMN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22110-2025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45785</v>
      </c>
      <c r="E664" s="1" t="n">
        <v>46229</v>
      </c>
      <c r="F664" t="inlineStr">
        <is>
          <t>VÄSTRA GÖTALANDS LÄN</t>
        </is>
      </c>
      <c r="G664" t="inlineStr">
        <is>
          <t>ULRICEHAMN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16993-2024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45412</v>
      </c>
      <c r="E665" s="1" t="n">
        <v>46229</v>
      </c>
      <c r="F665" t="inlineStr">
        <is>
          <t>VÄSTRA GÖTALANDS LÄN</t>
        </is>
      </c>
      <c r="G665" t="inlineStr">
        <is>
          <t>ULRICEHAMN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21831-2025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45784</v>
      </c>
      <c r="E666" s="1" t="n">
        <v>46229</v>
      </c>
      <c r="F666" t="inlineStr">
        <is>
          <t>VÄSTRA GÖTALANDS LÄN</t>
        </is>
      </c>
      <c r="G666" t="inlineStr">
        <is>
          <t>ULRICEHAMN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45709</v>
      </c>
      <c r="E667" s="1" t="n">
        <v>46229</v>
      </c>
      <c r="F667" t="inlineStr">
        <is>
          <t>VÄSTRA GÖTALANDS LÄN</t>
        </is>
      </c>
      <c r="G667" t="inlineStr">
        <is>
          <t>ULRICEHAMN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37501-2023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45157</v>
      </c>
      <c r="E668" s="1" t="n">
        <v>46229</v>
      </c>
      <c r="F668" t="inlineStr">
        <is>
          <t>VÄSTRA GÖTALANDS LÄN</t>
        </is>
      </c>
      <c r="G668" t="inlineStr">
        <is>
          <t>ULRICEHAMN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23267-2025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45791</v>
      </c>
      <c r="E669" s="1" t="n">
        <v>46229</v>
      </c>
      <c r="F669" t="inlineStr">
        <is>
          <t>VÄSTRA GÖTALANDS LÄN</t>
        </is>
      </c>
      <c r="G669" t="inlineStr">
        <is>
          <t>ULRICEHAMN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45790</v>
      </c>
      <c r="E670" s="1" t="n">
        <v>46229</v>
      </c>
      <c r="F670" t="inlineStr">
        <is>
          <t>VÄSTRA GÖTALANDS LÄN</t>
        </is>
      </c>
      <c r="G670" t="inlineStr">
        <is>
          <t>ULRICEHAMN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24347-2025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45797</v>
      </c>
      <c r="E671" s="1" t="n">
        <v>46229</v>
      </c>
      <c r="F671" t="inlineStr">
        <is>
          <t>VÄSTRA GÖTALANDS LÄN</t>
        </is>
      </c>
      <c r="G671" t="inlineStr">
        <is>
          <t>ULRICEHAMN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24901-2025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45799</v>
      </c>
      <c r="E672" s="1" t="n">
        <v>46229</v>
      </c>
      <c r="F672" t="inlineStr">
        <is>
          <t>VÄSTRA GÖTALANDS LÄN</t>
        </is>
      </c>
      <c r="G672" t="inlineStr">
        <is>
          <t>ULRICEHAMN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26377-2025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46229</v>
      </c>
      <c r="F673" t="inlineStr">
        <is>
          <t>VÄSTRA GÖTALANDS LÄN</t>
        </is>
      </c>
      <c r="G673" t="inlineStr">
        <is>
          <t>ULRICEHAMN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26384-2025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45806</v>
      </c>
      <c r="E674" s="1" t="n">
        <v>46229</v>
      </c>
      <c r="F674" t="inlineStr">
        <is>
          <t>VÄSTRA GÖTALANDS LÄN</t>
        </is>
      </c>
      <c r="G674" t="inlineStr">
        <is>
          <t>ULRICEHAMN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45806</v>
      </c>
      <c r="E675" s="1" t="n">
        <v>46229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45806</v>
      </c>
      <c r="E676" s="1" t="n">
        <v>46229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26383-2025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45806</v>
      </c>
      <c r="E677" s="1" t="n">
        <v>46229</v>
      </c>
      <c r="F677" t="inlineStr">
        <is>
          <t>VÄSTRA GÖTALANDS LÄN</t>
        </is>
      </c>
      <c r="G677" t="inlineStr">
        <is>
          <t>ULRICEHAMN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45806</v>
      </c>
      <c r="E678" s="1" t="n">
        <v>46229</v>
      </c>
      <c r="F678" t="inlineStr">
        <is>
          <t>VÄSTRA GÖTALANDS LÄN</t>
        </is>
      </c>
      <c r="G678" t="inlineStr">
        <is>
          <t>ULRICEHAMN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45132</v>
      </c>
      <c r="E679" s="1" t="n">
        <v>46229</v>
      </c>
      <c r="F679" t="inlineStr">
        <is>
          <t>VÄSTRA GÖTALANDS LÄN</t>
        </is>
      </c>
      <c r="G679" t="inlineStr">
        <is>
          <t>ULRICEHAMN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45473</v>
      </c>
      <c r="E680" s="1" t="n">
        <v>46229</v>
      </c>
      <c r="F680" t="inlineStr">
        <is>
          <t>VÄSTRA GÖTALANDS LÄN</t>
        </is>
      </c>
      <c r="G680" t="inlineStr">
        <is>
          <t>ULRICEHAMN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49768-2023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45212</v>
      </c>
      <c r="E681" s="1" t="n">
        <v>46229</v>
      </c>
      <c r="F681" t="inlineStr">
        <is>
          <t>VÄSTRA GÖTALANDS LÄN</t>
        </is>
      </c>
      <c r="G681" t="inlineStr">
        <is>
          <t>ULRICEHAMN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45824</v>
      </c>
      <c r="E682" s="1" t="n">
        <v>46229</v>
      </c>
      <c r="F682" t="inlineStr">
        <is>
          <t>VÄSTRA GÖTALANDS LÄN</t>
        </is>
      </c>
      <c r="G682" t="inlineStr">
        <is>
          <t>ULRICEHAMN</t>
        </is>
      </c>
      <c r="I682" t="n">
        <v>14.8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46229</v>
      </c>
      <c r="F683" t="inlineStr">
        <is>
          <t>VÄSTRA GÖTALANDS LÄN</t>
        </is>
      </c>
      <c r="G683" t="inlineStr">
        <is>
          <t>ULRICEHAMN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11629-2025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46229</v>
      </c>
      <c r="F684" t="inlineStr">
        <is>
          <t>VÄSTRA GÖTALANDS LÄN</t>
        </is>
      </c>
      <c r="G684" t="inlineStr">
        <is>
          <t>ULRICEHAMN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29924-2025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46229</v>
      </c>
      <c r="F685" t="inlineStr">
        <is>
          <t>VÄSTRA GÖTALANDS LÄN</t>
        </is>
      </c>
      <c r="G685" t="inlineStr">
        <is>
          <t>ULRICEHAMN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12438-2025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46229</v>
      </c>
      <c r="F686" t="inlineStr">
        <is>
          <t>VÄSTRA GÖTALANDS LÄN</t>
        </is>
      </c>
      <c r="G686" t="inlineStr">
        <is>
          <t>ULRICEHAMN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45743</v>
      </c>
      <c r="E687" s="1" t="n">
        <v>46229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10270-2025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45720</v>
      </c>
      <c r="E688" s="1" t="n">
        <v>46229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45833</v>
      </c>
      <c r="E689" s="1" t="n">
        <v>46229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32211-2025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46229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46229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31621-2025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45833</v>
      </c>
      <c r="E692" s="1" t="n">
        <v>46229</v>
      </c>
      <c r="F692" t="inlineStr">
        <is>
          <t>VÄSTRA GÖTALANDS LÄN</t>
        </is>
      </c>
      <c r="G692" t="inlineStr">
        <is>
          <t>ULRICEHAMN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46229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46229</v>
      </c>
      <c r="F694" t="inlineStr">
        <is>
          <t>VÄSTRA GÖTALANDS LÄN</t>
        </is>
      </c>
      <c r="G694" t="inlineStr">
        <is>
          <t>ULRICEHAMN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32208-2025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46229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46229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32508-2025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46229</v>
      </c>
      <c r="F697" t="inlineStr">
        <is>
          <t>VÄSTRA GÖTALANDS LÄN</t>
        </is>
      </c>
      <c r="G697" t="inlineStr">
        <is>
          <t>ULRICEHAMN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46229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32602-2025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45838</v>
      </c>
      <c r="E699" s="1" t="n">
        <v>46229</v>
      </c>
      <c r="F699" t="inlineStr">
        <is>
          <t>VÄSTRA GÖTALANDS LÄN</t>
        </is>
      </c>
      <c r="G699" t="inlineStr">
        <is>
          <t>ULRICEHAMN</t>
        </is>
      </c>
      <c r="H699" t="inlineStr">
        <is>
          <t>Sveaskog</t>
        </is>
      </c>
      <c r="I699" t="n">
        <v>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32621-2025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45838</v>
      </c>
      <c r="E700" s="1" t="n">
        <v>46229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32597-2025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45838</v>
      </c>
      <c r="E701" s="1" t="n">
        <v>46229</v>
      </c>
      <c r="F701" t="inlineStr">
        <is>
          <t>VÄSTRA GÖTALANDS LÄN</t>
        </is>
      </c>
      <c r="G701" t="inlineStr">
        <is>
          <t>ULRICEHAMN</t>
        </is>
      </c>
      <c r="H701" t="inlineStr">
        <is>
          <t>Sveaskog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32512-2025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45838</v>
      </c>
      <c r="E702" s="1" t="n">
        <v>46229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45841</v>
      </c>
      <c r="E703" s="1" t="n">
        <v>46229</v>
      </c>
      <c r="F703" t="inlineStr">
        <is>
          <t>VÄSTRA GÖTALANDS LÄN</t>
        </is>
      </c>
      <c r="G703" t="inlineStr">
        <is>
          <t>ULRICEHAMN</t>
        </is>
      </c>
      <c r="I703" t="n">
        <v>16.7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33631-2025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45841</v>
      </c>
      <c r="E704" s="1" t="n">
        <v>46229</v>
      </c>
      <c r="F704" t="inlineStr">
        <is>
          <t>VÄSTRA GÖTALANDS LÄN</t>
        </is>
      </c>
      <c r="G704" t="inlineStr">
        <is>
          <t>ULRICEHAMN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45846</v>
      </c>
      <c r="E705" s="1" t="n">
        <v>46229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46229</v>
      </c>
      <c r="F706" t="inlineStr">
        <is>
          <t>VÄSTRA GÖTALANDS LÄN</t>
        </is>
      </c>
      <c r="G706" t="inlineStr">
        <is>
          <t>ULRICEHAMN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45663</v>
      </c>
      <c r="E707" s="1" t="n">
        <v>46229</v>
      </c>
      <c r="F707" t="inlineStr">
        <is>
          <t>VÄSTRA GÖTALANDS LÄN</t>
        </is>
      </c>
      <c r="G707" t="inlineStr">
        <is>
          <t>ULRICEHAMN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5137-2025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45691</v>
      </c>
      <c r="E708" s="1" t="n">
        <v>46229</v>
      </c>
      <c r="F708" t="inlineStr">
        <is>
          <t>VÄSTRA GÖTALANDS LÄN</t>
        </is>
      </c>
      <c r="G708" t="inlineStr">
        <is>
          <t>ULRICEHAMN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50062-2024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46229</v>
      </c>
      <c r="F709" t="inlineStr">
        <is>
          <t>VÄSTRA GÖTALANDS LÄN</t>
        </is>
      </c>
      <c r="G709" t="inlineStr">
        <is>
          <t>ULRICEHAMN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35546-2025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45856</v>
      </c>
      <c r="E710" s="1" t="n">
        <v>46229</v>
      </c>
      <c r="F710" t="inlineStr">
        <is>
          <t>VÄSTRA GÖTALANDS LÄN</t>
        </is>
      </c>
      <c r="G710" t="inlineStr">
        <is>
          <t>ULRICEHAMN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35872-2025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45862</v>
      </c>
      <c r="E711" s="1" t="n">
        <v>46229</v>
      </c>
      <c r="F711" t="inlineStr">
        <is>
          <t>VÄSTRA GÖTALANDS LÄN</t>
        </is>
      </c>
      <c r="G711" t="inlineStr">
        <is>
          <t>ULRICEHAMN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36067-2025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45866</v>
      </c>
      <c r="E712" s="1" t="n">
        <v>46229</v>
      </c>
      <c r="F712" t="inlineStr">
        <is>
          <t>VÄSTRA GÖTALANDS LÄN</t>
        </is>
      </c>
      <c r="G712" t="inlineStr">
        <is>
          <t>ULRICEHAMN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36080-2025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45866</v>
      </c>
      <c r="E713" s="1" t="n">
        <v>46229</v>
      </c>
      <c r="F713" t="inlineStr">
        <is>
          <t>VÄSTRA GÖTALANDS LÄN</t>
        </is>
      </c>
      <c r="G713" t="inlineStr">
        <is>
          <t>ULRICEHAMN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45868</v>
      </c>
      <c r="E714" s="1" t="n">
        <v>46229</v>
      </c>
      <c r="F714" t="inlineStr">
        <is>
          <t>VÄSTRA GÖTALANDS LÄN</t>
        </is>
      </c>
      <c r="G714" t="inlineStr">
        <is>
          <t>ULRICEHAMN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1263-2024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45400</v>
      </c>
      <c r="E715" s="1" t="n">
        <v>46229</v>
      </c>
      <c r="F715" t="inlineStr">
        <is>
          <t>VÄSTRA GÖTALANDS LÄN</t>
        </is>
      </c>
      <c r="G715" t="inlineStr">
        <is>
          <t>ULRICEHAMN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1872-2022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44658</v>
      </c>
      <c r="E716" s="1" t="n">
        <v>46229</v>
      </c>
      <c r="F716" t="inlineStr">
        <is>
          <t>VÄSTRA GÖTALANDS LÄN</t>
        </is>
      </c>
      <c r="G716" t="inlineStr">
        <is>
          <t>ULRICEHAMN</t>
        </is>
      </c>
      <c r="I716" t="n">
        <v>56.8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5926-2022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44854</v>
      </c>
      <c r="E717" s="1" t="n">
        <v>46229</v>
      </c>
      <c r="F717" t="inlineStr">
        <is>
          <t>VÄSTRA GÖTALANDS LÄN</t>
        </is>
      </c>
      <c r="G717" t="inlineStr">
        <is>
          <t>ULRICEHAMN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4202-2022</t>
        </is>
      </c>
      <c r="B718" t="inlineStr">
        <is>
          <t>samrådsanmälan</t>
        </is>
      </c>
      <c r="C718" t="inlineStr">
        <is>
          <t>Åtgärd i nyckelbiotop</t>
        </is>
      </c>
      <c r="D718" s="1" t="n">
        <v>44771</v>
      </c>
      <c r="E718" s="1" t="n">
        <v>46229</v>
      </c>
      <c r="F718" t="inlineStr">
        <is>
          <t>VÄSTRA GÖTALANDS LÄN</t>
        </is>
      </c>
      <c r="G718" t="inlineStr">
        <is>
          <t>ULRICEHAMN</t>
        </is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7380-2021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44470</v>
      </c>
      <c r="E719" s="1" t="n">
        <v>46229</v>
      </c>
      <c r="F719" t="inlineStr">
        <is>
          <t>VÄSTRA GÖTALANDS LÄN</t>
        </is>
      </c>
      <c r="G719" t="inlineStr">
        <is>
          <t>ULRICEHAMN</t>
        </is>
      </c>
      <c r="I719" t="n">
        <v>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2913-2023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45169</v>
      </c>
      <c r="E720" s="1" t="n">
        <v>46229</v>
      </c>
      <c r="F720" t="inlineStr">
        <is>
          <t>VÄSTRA GÖTALANDS LÄN</t>
        </is>
      </c>
      <c r="G720" t="inlineStr">
        <is>
          <t>ULRICEHAMN</t>
        </is>
      </c>
      <c r="I720" t="n">
        <v>32.7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3864-2022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44747</v>
      </c>
      <c r="E721" s="1" t="n">
        <v>46229</v>
      </c>
      <c r="F721" t="inlineStr">
        <is>
          <t>VÄSTRA GÖTALANDS LÄN</t>
        </is>
      </c>
      <c r="G721" t="inlineStr">
        <is>
          <t>ULRICEHAMN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425-2023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44960</v>
      </c>
      <c r="E722" s="1" t="n">
        <v>46229</v>
      </c>
      <c r="F722" t="inlineStr">
        <is>
          <t>VÄSTRA GÖTALANDS LÄN</t>
        </is>
      </c>
      <c r="G722" t="inlineStr">
        <is>
          <t>ULRICEHAMN</t>
        </is>
      </c>
      <c r="I722" t="n">
        <v>11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8871-2021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44503</v>
      </c>
      <c r="E723" s="1" t="n">
        <v>46229</v>
      </c>
      <c r="F723" t="inlineStr">
        <is>
          <t>VÄSTRA GÖTALANDS LÄN</t>
        </is>
      </c>
      <c r="G723" t="inlineStr">
        <is>
          <t>ULRICEHAMN</t>
        </is>
      </c>
      <c r="I723" t="n">
        <v>53.1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621-2025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45714</v>
      </c>
      <c r="E724" s="1" t="n">
        <v>46229</v>
      </c>
      <c r="F724" t="inlineStr">
        <is>
          <t>VÄSTRA GÖTALANDS LÄN</t>
        </is>
      </c>
      <c r="G724" t="inlineStr">
        <is>
          <t>ULRICEHAMN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2904-2023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45171</v>
      </c>
      <c r="E725" s="1" t="n">
        <v>46229</v>
      </c>
      <c r="F725" t="inlineStr">
        <is>
          <t>VÄSTRA GÖTALANDS LÄN</t>
        </is>
      </c>
      <c r="G725" t="inlineStr">
        <is>
          <t>ULRICEHAMN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>
      <c r="A726" t="inlineStr">
        <is>
          <t>S 385-2026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46066</v>
      </c>
      <c r="E726" s="1" t="n">
        <v>46229</v>
      </c>
      <c r="F726" t="inlineStr">
        <is>
          <t>VÄSTRA GÖTALANDS LÄN</t>
        </is>
      </c>
      <c r="G726" t="inlineStr">
        <is>
          <t>ULRICEHAMN</t>
        </is>
      </c>
      <c r="I726" t="n">
        <v>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2026-07-26T01:50:44Z</dcterms:created>
  <dcterms:modified xmlns:dcterms="http://purl.org/dc/terms/" xmlns:xsi="http://www.w3.org/2001/XMLSchema-instance" xsi:type="dcterms:W3CDTF">2026-07-26T01:50:44Z</dcterms:modified>
</cp:coreProperties>
</file>