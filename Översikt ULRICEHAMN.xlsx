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46257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46257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46257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46257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46257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46257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46257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53555-2022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44879</v>
      </c>
      <c r="E21" s="1" t="n">
        <v>46257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HYPERLINK("https://klasma.github.io/Logging_1491/artfynd/A 53555-2022 artfynd.xlsx", "A 53555-2022")</f>
        <v/>
      </c>
      <c r="X21">
        <f>HYPERLINK("https://klasma.github.io/Logging_1491/kartor/A 53555-2022 karta.png", "A 53555-2022")</f>
        <v/>
      </c>
      <c r="Y21">
        <f>HYPERLINK("https://klasma.github.io/Logging_1491/kartor_geotiff/A 53555-2022 georefererad karta.tif", "A 53555-2022")</f>
        <v/>
      </c>
      <c r="AA21">
        <f>HYPERLINK("https://klasma.github.io/Logging_1491/klagomål/A 53555-2022 FSC-klagomål.docx", "A 53555-2022")</f>
        <v/>
      </c>
      <c r="AB21">
        <f>HYPERLINK("https://klasma.github.io/Logging_1491/klagomålsmail/A 53555-2022 FSC-klagomål mail.docx", "A 53555-2022")</f>
        <v/>
      </c>
      <c r="AC21">
        <f>HYPERLINK("https://klasma.github.io/Logging_1491/tillsyn/A 53555-2022 tillsynsbegäran.docx", "A 53555-2022")</f>
        <v/>
      </c>
      <c r="AD21">
        <f>HYPERLINK("https://klasma.github.io/Logging_1491/tillsynsmail/A 53555-2022 tillsynsbegäran mail.docx", "A 53555-2022")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46257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51158-2024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46257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Kommuner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HYPERLINK("https://klasma.github.io/Logging_1491/artfynd/A 51158-2024 artfynd.xlsx", "A 51158-2024")</f>
        <v/>
      </c>
      <c r="X23">
        <f>HYPERLINK("https://klasma.github.io/Logging_1491/kartor/A 51158-2024 karta.png", "A 51158-2024")</f>
        <v/>
      </c>
      <c r="Y23">
        <f>HYPERLINK("https://klasma.github.io/Logging_1491/kartor_geotiff/A 51158-2024 georefererad karta.tif", "A 51158-2024")</f>
        <v/>
      </c>
      <c r="AA23">
        <f>HYPERLINK("https://klasma.github.io/Logging_1491/klagomål/A 51158-2024 FSC-klagomål.docx", "A 51158-2024")</f>
        <v/>
      </c>
      <c r="AB23">
        <f>HYPERLINK("https://klasma.github.io/Logging_1491/klagomålsmail/A 51158-2024 FSC-klagomål mail.docx", "A 51158-2024")</f>
        <v/>
      </c>
      <c r="AC23">
        <f>HYPERLINK("https://klasma.github.io/Logging_1491/tillsyn/A 51158-2024 tillsynsbegäran.docx", "A 51158-2024")</f>
        <v/>
      </c>
      <c r="AD23">
        <f>HYPERLINK("https://klasma.github.io/Logging_1491/tillsynsmail/A 51158-2024 tillsynsbegäran mail.docx", "A 51158-2024")</f>
        <v/>
      </c>
    </row>
    <row r="24" ht="15" customHeight="1">
      <c r="A24" t="inlineStr">
        <is>
          <t>A 30954-2022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46257</v>
      </c>
      <c r="F24" t="inlineStr">
        <is>
          <t>VÄSTRA GÖTALANDS LÄN</t>
        </is>
      </c>
      <c r="G24" t="inlineStr">
        <is>
          <t>ULRICEHAMN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HYPERLINK("https://klasma.github.io/Logging_1491/artfynd/A 30954-2022 artfynd.xlsx", "A 30954-2022")</f>
        <v/>
      </c>
      <c r="X24">
        <f>HYPERLINK("https://klasma.github.io/Logging_1491/kartor/A 30954-2022 karta.png", "A 30954-2022")</f>
        <v/>
      </c>
      <c r="Y24">
        <f>HYPERLINK("https://klasma.github.io/Logging_1491/kartor_geotiff/A 30954-2022 georefererad karta.tif", "A 30954-2022")</f>
        <v/>
      </c>
      <c r="AA24">
        <f>HYPERLINK("https://klasma.github.io/Logging_1491/klagomål/A 30954-2022 FSC-klagomål.docx", "A 30954-2022")</f>
        <v/>
      </c>
      <c r="AB24">
        <f>HYPERLINK("https://klasma.github.io/Logging_1491/klagomålsmail/A 30954-2022 FSC-klagomål mail.docx", "A 30954-2022")</f>
        <v/>
      </c>
      <c r="AC24">
        <f>HYPERLINK("https://klasma.github.io/Logging_1491/tillsyn/A 30954-2022 tillsynsbegäran.docx", "A 30954-2022")</f>
        <v/>
      </c>
      <c r="AD24">
        <f>HYPERLINK("https://klasma.github.io/Logging_1491/tillsynsmail/A 30954-2022 tillsynsbegäran mail.docx", "A 30954-2022")</f>
        <v/>
      </c>
      <c r="AE24">
        <f>HYPERLINK("https://klasma.github.io/Logging_1491/fåglar/A 30954-2022 prioriterade fågelarter.docx", "A 30954-2022")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46257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2626-2025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45675</v>
      </c>
      <c r="E26" s="1" t="n">
        <v>46257</v>
      </c>
      <c r="F26" t="inlineStr">
        <is>
          <t>VÄSTRA GÖTALANDS LÄN</t>
        </is>
      </c>
      <c r="G26" t="inlineStr">
        <is>
          <t>ULRICEHAMN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Flodpärlmussla</t>
        </is>
      </c>
      <c r="W26">
        <f>HYPERLINK("https://klasma.github.io/Logging_1491/artfynd/A 2626-2025 artfynd.xlsx", "A 2626-2025")</f>
        <v/>
      </c>
      <c r="X26">
        <f>HYPERLINK("https://klasma.github.io/Logging_1491/kartor/A 2626-2025 karta.png", "A 2626-2025")</f>
        <v/>
      </c>
      <c r="Y26">
        <f>HYPERLINK("https://klasma.github.io/Logging_1491/kartor_geotiff/A 2626-2025 georefererad karta.tif", "A 2626-2025")</f>
        <v/>
      </c>
      <c r="AA26">
        <f>HYPERLINK("https://klasma.github.io/Logging_1491/klagomål/A 2626-2025 FSC-klagomål.docx", "A 2626-2025")</f>
        <v/>
      </c>
      <c r="AB26">
        <f>HYPERLINK("https://klasma.github.io/Logging_1491/klagomålsmail/A 2626-2025 FSC-klagomål mail.docx", "A 2626-2025")</f>
        <v/>
      </c>
      <c r="AC26">
        <f>HYPERLINK("https://klasma.github.io/Logging_1491/tillsyn/A 2626-2025 tillsynsbegäran.docx", "A 2626-2025")</f>
        <v/>
      </c>
      <c r="AD26">
        <f>HYPERLINK("https://klasma.github.io/Logging_1491/tillsynsmail/A 2626-2025 tillsynsbegäran mail.docx", "A 2626-2025")</f>
        <v/>
      </c>
    </row>
    <row r="27" ht="15" customHeight="1">
      <c r="A27" t="inlineStr">
        <is>
          <t>A 33885-2023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45134</v>
      </c>
      <c r="E27" s="1" t="n">
        <v>46257</v>
      </c>
      <c r="F27" t="inlineStr">
        <is>
          <t>VÄSTRA GÖTALANDS LÄN</t>
        </is>
      </c>
      <c r="G27" t="inlineStr">
        <is>
          <t>ULRICEHAMN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Gulvaxing</t>
        </is>
      </c>
      <c r="W27">
        <f>HYPERLINK("https://klasma.github.io/Logging_1491/artfynd/A 33885-2023 artfynd.xlsx", "A 33885-2023")</f>
        <v/>
      </c>
      <c r="X27">
        <f>HYPERLINK("https://klasma.github.io/Logging_1491/kartor/A 33885-2023 karta.png", "A 33885-2023")</f>
        <v/>
      </c>
      <c r="Y27">
        <f>HYPERLINK("https://klasma.github.io/Logging_1491/kartor_geotiff/A 33885-2023 georefererad karta.tif", "A 33885-2023")</f>
        <v/>
      </c>
      <c r="AA27">
        <f>HYPERLINK("https://klasma.github.io/Logging_1491/klagomål/A 33885-2023 FSC-klagomål.docx", "A 33885-2023")</f>
        <v/>
      </c>
      <c r="AB27">
        <f>HYPERLINK("https://klasma.github.io/Logging_1491/klagomålsmail/A 33885-2023 FSC-klagomål mail.docx", "A 33885-2023")</f>
        <v/>
      </c>
      <c r="AC27">
        <f>HYPERLINK("https://klasma.github.io/Logging_1491/tillsyn/A 33885-2023 tillsynsbegäran.docx", "A 33885-2023")</f>
        <v/>
      </c>
      <c r="AD27">
        <f>HYPERLINK("https://klasma.github.io/Logging_1491/tillsynsmail/A 33885-2023 tillsynsbegäran mail.docx", "A 33885-2023")</f>
        <v/>
      </c>
    </row>
    <row r="28" ht="15" customHeight="1">
      <c r="A28" t="inlineStr">
        <is>
          <t>A 8055-2024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46257</v>
      </c>
      <c r="F28" t="inlineStr">
        <is>
          <t>VÄSTRA GÖTALANDS LÄN</t>
        </is>
      </c>
      <c r="G28" t="inlineStr">
        <is>
          <t>ULRICEHAMN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8055-2024 artfynd.xlsx", "A 8055-2024")</f>
        <v/>
      </c>
      <c r="X28">
        <f>HYPERLINK("https://klasma.github.io/Logging_1491/kartor/A 8055-2024 karta.png", "A 8055-2024")</f>
        <v/>
      </c>
      <c r="Y28">
        <f>HYPERLINK("https://klasma.github.io/Logging_1491/kartor_geotiff/A 8055-2024 georefererad karta.tif", "A 8055-2024")</f>
        <v/>
      </c>
      <c r="AA28">
        <f>HYPERLINK("https://klasma.github.io/Logging_1491/klagomål/A 8055-2024 FSC-klagomål.docx", "A 8055-2024")</f>
        <v/>
      </c>
      <c r="AB28">
        <f>HYPERLINK("https://klasma.github.io/Logging_1491/klagomålsmail/A 8055-2024 FSC-klagomål mail.docx", "A 8055-2024")</f>
        <v/>
      </c>
      <c r="AC28">
        <f>HYPERLINK("https://klasma.github.io/Logging_1491/tillsyn/A 8055-2024 tillsynsbegäran.docx", "A 8055-2024")</f>
        <v/>
      </c>
      <c r="AD28">
        <f>HYPERLINK("https://klasma.github.io/Logging_1491/tillsynsmail/A 8055-2024 tillsynsbegäran mail.docx", "A 8055-2024")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46257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46257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46257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Plattlummer</t>
        </is>
      </c>
      <c r="W31">
        <f>HYPERLINK("https://klasma.github.io/Logging_1491/artfynd/A 64810-2021 artfynd.xlsx", "A 64810-2021")</f>
        <v/>
      </c>
      <c r="X31">
        <f>HYPERLINK("https://klasma.github.io/Logging_1491/kartor/A 64810-2021 karta.png", "A 64810-2021")</f>
        <v/>
      </c>
      <c r="Y31">
        <f>HYPERLINK("https://klasma.github.io/Logging_1491/kartor_geotiff/A 64810-2021 georefererad karta.tif", "A 64810-2021")</f>
        <v/>
      </c>
      <c r="AA31">
        <f>HYPERLINK("https://klasma.github.io/Logging_1491/klagomål/A 64810-2021 FSC-klagomål.docx", "A 64810-2021")</f>
        <v/>
      </c>
      <c r="AB31">
        <f>HYPERLINK("https://klasma.github.io/Logging_1491/klagomålsmail/A 64810-2021 FSC-klagomål mail.docx", "A 64810-2021")</f>
        <v/>
      </c>
      <c r="AC31">
        <f>HYPERLINK("https://klasma.github.io/Logging_1491/tillsyn/A 64810-2021 tillsynsbegäran.docx", "A 64810-2021")</f>
        <v/>
      </c>
      <c r="AD31">
        <f>HYPERLINK("https://klasma.github.io/Logging_1491/tillsynsmail/A 64810-2021 tillsynsbegäran mail.docx", "A 64810-2021")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46257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46257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54903-2023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46257</v>
      </c>
      <c r="F34" t="inlineStr">
        <is>
          <t>VÄSTRA GÖTALANDS LÄN</t>
        </is>
      </c>
      <c r="G34" t="inlineStr">
        <is>
          <t>ULRICEHAMN</t>
        </is>
      </c>
      <c r="I34" t="n">
        <v>6.4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Trubbdaggkåpa</t>
        </is>
      </c>
      <c r="W34">
        <f>HYPERLINK("https://klasma.github.io/Logging_1491/artfynd/A 54903-2023 artfynd.xlsx", "A 54903-2023")</f>
        <v/>
      </c>
      <c r="X34">
        <f>HYPERLINK("https://klasma.github.io/Logging_1491/kartor/A 54903-2023 karta.png", "A 54903-2023")</f>
        <v/>
      </c>
      <c r="Y34">
        <f>HYPERLINK("https://klasma.github.io/Logging_1491/kartor_geotiff/A 54903-2023 georefererad karta.tif", "A 54903-2023")</f>
        <v/>
      </c>
      <c r="AA34">
        <f>HYPERLINK("https://klasma.github.io/Logging_1491/klagomål/A 54903-2023 FSC-klagomål.docx", "A 54903-2023")</f>
        <v/>
      </c>
      <c r="AB34">
        <f>HYPERLINK("https://klasma.github.io/Logging_1491/klagomålsmail/A 54903-2023 FSC-klagomål mail.docx", "A 54903-2023")</f>
        <v/>
      </c>
      <c r="AC34">
        <f>HYPERLINK("https://klasma.github.io/Logging_1491/tillsyn/A 54903-2023 tillsynsbegäran.docx", "A 54903-2023")</f>
        <v/>
      </c>
      <c r="AD34">
        <f>HYPERLINK("https://klasma.github.io/Logging_1491/tillsynsmail/A 54903-2023 tillsynsbegäran mail.docx", "A 54903-2023")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46257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46257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43241-2024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46257</v>
      </c>
      <c r="F37" t="inlineStr">
        <is>
          <t>VÄSTRA GÖTALANDS LÄN</t>
        </is>
      </c>
      <c r="G37" t="inlineStr">
        <is>
          <t>ULRICEHAMN</t>
        </is>
      </c>
      <c r="I37" t="n">
        <v>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43241-2024 artfynd.xlsx", "A 43241-2024")</f>
        <v/>
      </c>
      <c r="X37">
        <f>HYPERLINK("https://klasma.github.io/Logging_1491/kartor/A 43241-2024 karta.png", "A 43241-2024")</f>
        <v/>
      </c>
      <c r="Y37">
        <f>HYPERLINK("https://klasma.github.io/Logging_1491/kartor_geotiff/A 43241-2024 georefererad karta.tif", "A 43241-2024")</f>
        <v/>
      </c>
      <c r="AA37">
        <f>HYPERLINK("https://klasma.github.io/Logging_1491/klagomål/A 43241-2024 FSC-klagomål.docx", "A 43241-2024")</f>
        <v/>
      </c>
      <c r="AB37">
        <f>HYPERLINK("https://klasma.github.io/Logging_1491/klagomålsmail/A 43241-2024 FSC-klagomål mail.docx", "A 43241-2024")</f>
        <v/>
      </c>
      <c r="AC37">
        <f>HYPERLINK("https://klasma.github.io/Logging_1491/tillsyn/A 43241-2024 tillsynsbegäran.docx", "A 43241-2024")</f>
        <v/>
      </c>
      <c r="AD37">
        <f>HYPERLINK("https://klasma.github.io/Logging_1491/tillsynsmail/A 43241-2024 tillsynsbegäran mail.docx", "A 43241-2024")</f>
        <v/>
      </c>
    </row>
    <row r="38" ht="15" customHeight="1">
      <c r="A38" t="inlineStr">
        <is>
          <t>A 37238-2025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46257</v>
      </c>
      <c r="F38" t="inlineStr">
        <is>
          <t>VÄSTRA GÖTALANDS LÄN</t>
        </is>
      </c>
      <c r="G38" t="inlineStr">
        <is>
          <t>ULRICEHAMN</t>
        </is>
      </c>
      <c r="I38" t="n">
        <v>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37238-2025 artfynd.xlsx", "A 37238-2025")</f>
        <v/>
      </c>
      <c r="X38">
        <f>HYPERLINK("https://klasma.github.io/Logging_1491/kartor/A 37238-2025 karta.png", "A 37238-2025")</f>
        <v/>
      </c>
      <c r="Y38">
        <f>HYPERLINK("https://klasma.github.io/Logging_1491/kartor_geotiff/A 37238-2025 georefererad karta.tif", "A 37238-2025")</f>
        <v/>
      </c>
      <c r="AA38">
        <f>HYPERLINK("https://klasma.github.io/Logging_1491/klagomål/A 37238-2025 FSC-klagomål.docx", "A 37238-2025")</f>
        <v/>
      </c>
      <c r="AB38">
        <f>HYPERLINK("https://klasma.github.io/Logging_1491/klagomålsmail/A 37238-2025 FSC-klagomål mail.docx", "A 37238-2025")</f>
        <v/>
      </c>
      <c r="AC38">
        <f>HYPERLINK("https://klasma.github.io/Logging_1491/tillsyn/A 37238-2025 tillsynsbegäran.docx", "A 37238-2025")</f>
        <v/>
      </c>
      <c r="AD38">
        <f>HYPERLINK("https://klasma.github.io/Logging_1491/tillsynsmail/A 37238-2025 tillsynsbegäran mail.docx", "A 37238-2025")</f>
        <v/>
      </c>
    </row>
    <row r="39" ht="15" customHeight="1">
      <c r="A39" t="inlineStr">
        <is>
          <t>A 6804-2026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46257</v>
      </c>
      <c r="F39" t="inlineStr">
        <is>
          <t>VÄSTRA GÖTALANDS LÄN</t>
        </is>
      </c>
      <c r="G39" t="inlineStr">
        <is>
          <t>ULRICEHAMN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HYPERLINK("https://klasma.github.io/Logging_1491/artfynd/A 6804-2026 artfynd.xlsx", "A 6804-2026")</f>
        <v/>
      </c>
      <c r="X39">
        <f>HYPERLINK("https://klasma.github.io/Logging_1491/kartor/A 6804-2026 karta.png", "A 6804-2026")</f>
        <v/>
      </c>
      <c r="Y39">
        <f>HYPERLINK("https://klasma.github.io/Logging_1491/kartor_geotiff/A 6804-2026 georefererad karta.tif", "A 6804-2026")</f>
        <v/>
      </c>
      <c r="AA39">
        <f>HYPERLINK("https://klasma.github.io/Logging_1491/klagomål/A 6804-2026 FSC-klagomål.docx", "A 6804-2026")</f>
        <v/>
      </c>
      <c r="AB39">
        <f>HYPERLINK("https://klasma.github.io/Logging_1491/klagomålsmail/A 6804-2026 FSC-klagomål mail.docx", "A 6804-2026")</f>
        <v/>
      </c>
      <c r="AC39">
        <f>HYPERLINK("https://klasma.github.io/Logging_1491/tillsyn/A 6804-2026 tillsynsbegäran.docx", "A 6804-2026")</f>
        <v/>
      </c>
      <c r="AD39">
        <f>HYPERLINK("https://klasma.github.io/Logging_1491/tillsynsmail/A 6804-2026 tillsynsbegäran mail.docx", "A 6804-2026")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46257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9906-2026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46073</v>
      </c>
      <c r="E41" s="1" t="n">
        <v>46257</v>
      </c>
      <c r="F41" t="inlineStr">
        <is>
          <t>VÄSTRA GÖTALANDS LÄN</t>
        </is>
      </c>
      <c r="G41" t="inlineStr">
        <is>
          <t>ULRICEHAMN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HYPERLINK("https://klasma.github.io/Logging_1491/artfynd/A 9906-2026 artfynd.xlsx", "A 9906-2026")</f>
        <v/>
      </c>
      <c r="X41">
        <f>HYPERLINK("https://klasma.github.io/Logging_1491/kartor/A 9906-2026 karta.png", "A 9906-2026")</f>
        <v/>
      </c>
      <c r="Y41">
        <f>HYPERLINK("https://klasma.github.io/Logging_1491/kartor_geotiff/A 9906-2026 georefererad karta.tif", "A 9906-2026")</f>
        <v/>
      </c>
      <c r="AA41">
        <f>HYPERLINK("https://klasma.github.io/Logging_1491/klagomål/A 9906-2026 FSC-klagomål.docx", "A 9906-2026")</f>
        <v/>
      </c>
      <c r="AB41">
        <f>HYPERLINK("https://klasma.github.io/Logging_1491/klagomålsmail/A 9906-2026 FSC-klagomål mail.docx", "A 9906-2026")</f>
        <v/>
      </c>
      <c r="AC41">
        <f>HYPERLINK("https://klasma.github.io/Logging_1491/tillsyn/A 9906-2026 tillsynsbegäran.docx", "A 9906-2026")</f>
        <v/>
      </c>
      <c r="AD41">
        <f>HYPERLINK("https://klasma.github.io/Logging_1491/tillsynsmail/A 9906-2026 tillsynsbegäran mail.docx", "A 9906-2026")</f>
        <v/>
      </c>
      <c r="AE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46257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13789-2026 artfynd.xlsx", "A 13789-2026")</f>
        <v/>
      </c>
      <c r="X42">
        <f>HYPERLINK("https://klasma.github.io/Logging_1491/kartor/A 13789-2026 karta.png", "A 13789-2026")</f>
        <v/>
      </c>
      <c r="Y42">
        <f>HYPERLINK("https://klasma.github.io/Logging_1491/kartor_geotiff/A 13789-2026 georefererad karta.tif", "A 13789-2026")</f>
        <v/>
      </c>
      <c r="AA42">
        <f>HYPERLINK("https://klasma.github.io/Logging_1491/klagomål/A 13789-2026 FSC-klagomål.docx", "A 13789-2026")</f>
        <v/>
      </c>
      <c r="AB42">
        <f>HYPERLINK("https://klasma.github.io/Logging_1491/klagomålsmail/A 13789-2026 FSC-klagomål mail.docx", "A 13789-2026")</f>
        <v/>
      </c>
      <c r="AC42">
        <f>HYPERLINK("https://klasma.github.io/Logging_1491/tillsyn/A 13789-2026 tillsynsbegäran.docx", "A 13789-2026")</f>
        <v/>
      </c>
      <c r="AD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46109</v>
      </c>
      <c r="E43" s="1" t="n">
        <v>46257</v>
      </c>
      <c r="F43" t="inlineStr">
        <is>
          <t>VÄSTRA GÖTALANDS LÄN</t>
        </is>
      </c>
      <c r="G43" t="inlineStr">
        <is>
          <t>ULRICEHAMN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Hässleklocka</t>
        </is>
      </c>
      <c r="W43">
        <f>HYPERLINK("https://klasma.github.io/Logging_1491/artfynd/A 16158-2026 artfynd.xlsx", "A 16158-2026")</f>
        <v/>
      </c>
      <c r="X43">
        <f>HYPERLINK("https://klasma.github.io/Logging_1491/kartor/A 16158-2026 karta.png", "A 16158-2026")</f>
        <v/>
      </c>
      <c r="Y43">
        <f>HYPERLINK("https://klasma.github.io/Logging_1491/kartor_geotiff/A 16158-2026 georefererad karta.tif", "A 16158-2026")</f>
        <v/>
      </c>
      <c r="AA43">
        <f>HYPERLINK("https://klasma.github.io/Logging_1491/klagomål/A 16158-2026 FSC-klagomål.docx", "A 16158-2026")</f>
        <v/>
      </c>
      <c r="AB43">
        <f>HYPERLINK("https://klasma.github.io/Logging_1491/klagomålsmail/A 16158-2026 FSC-klagomål mail.docx", "A 16158-2026")</f>
        <v/>
      </c>
      <c r="AC43">
        <f>HYPERLINK("https://klasma.github.io/Logging_1491/tillsyn/A 16158-2026 tillsynsbegäran.docx", "A 16158-2026")</f>
        <v/>
      </c>
      <c r="AD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46257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46257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46257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46257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46257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46257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46257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46257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46257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46257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46257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46257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46257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46257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46257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46257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46257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46257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46257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46257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46257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46257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46257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46257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46257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46257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46257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46257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46257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46257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46257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46257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46257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46257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46257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46257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46257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46257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46257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46257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46257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46257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46257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46257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46257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46257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46257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46257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46257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46257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46257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46257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46257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46257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46257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46257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46257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46257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46257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46257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46257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67657-2021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46257</v>
      </c>
      <c r="F105" t="inlineStr">
        <is>
          <t>VÄSTRA GÖTALANDS LÄN</t>
        </is>
      </c>
      <c r="G105" t="inlineStr">
        <is>
          <t>ULRICEHAMN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46257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46257</v>
      </c>
      <c r="F107" t="inlineStr">
        <is>
          <t>VÄSTRA GÖTALANDS LÄN</t>
        </is>
      </c>
      <c r="G107" t="inlineStr">
        <is>
          <t>ULRICEHAMN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46257</v>
      </c>
      <c r="F108" t="inlineStr">
        <is>
          <t>VÄSTRA GÖTALANDS LÄN</t>
        </is>
      </c>
      <c r="G108" t="inlineStr">
        <is>
          <t>ULRICEHAMN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46257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46257</v>
      </c>
      <c r="F110" t="inlineStr">
        <is>
          <t>VÄSTRA GÖTALANDS LÄN</t>
        </is>
      </c>
      <c r="G110" t="inlineStr">
        <is>
          <t>ULRICEHAMN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46257</v>
      </c>
      <c r="F111" t="inlineStr">
        <is>
          <t>VÄSTRA GÖTALANDS LÄN</t>
        </is>
      </c>
      <c r="G111" t="inlineStr">
        <is>
          <t>ULRICEHAMN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46257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45806</v>
      </c>
      <c r="E113" s="1" t="n">
        <v>46257</v>
      </c>
      <c r="F113" t="inlineStr">
        <is>
          <t>VÄSTRA GÖTALANDS LÄN</t>
        </is>
      </c>
      <c r="G113" t="inlineStr">
        <is>
          <t>ULRICEHAMN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45806</v>
      </c>
      <c r="E114" s="1" t="n">
        <v>46257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46257</v>
      </c>
      <c r="F115" t="inlineStr">
        <is>
          <t>VÄSTRA GÖTALANDS LÄN</t>
        </is>
      </c>
      <c r="G115" t="inlineStr">
        <is>
          <t>ULRICEHAMN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46257</v>
      </c>
      <c r="F116" t="inlineStr">
        <is>
          <t>VÄSTRA GÖTALANDS LÄN</t>
        </is>
      </c>
      <c r="G116" t="inlineStr">
        <is>
          <t>ULRICEHAMN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46257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44894</v>
      </c>
      <c r="E118" s="1" t="n">
        <v>46257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46257</v>
      </c>
      <c r="F119" t="inlineStr">
        <is>
          <t>VÄSTRA GÖTALANDS LÄN</t>
        </is>
      </c>
      <c r="G119" t="inlineStr">
        <is>
          <t>ULRICEHAMN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45806</v>
      </c>
      <c r="E120" s="1" t="n">
        <v>46257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45806</v>
      </c>
      <c r="E121" s="1" t="n">
        <v>46257</v>
      </c>
      <c r="F121" t="inlineStr">
        <is>
          <t>VÄSTRA GÖTALANDS LÄN</t>
        </is>
      </c>
      <c r="G121" t="inlineStr">
        <is>
          <t>ULRICEHAMN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45427</v>
      </c>
      <c r="E122" s="1" t="n">
        <v>46257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44638</v>
      </c>
      <c r="E123" s="1" t="n">
        <v>46257</v>
      </c>
      <c r="F123" t="inlineStr">
        <is>
          <t>VÄSTRA GÖTALANDS LÄN</t>
        </is>
      </c>
      <c r="G123" t="inlineStr">
        <is>
          <t>ULRICEHAMN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26383-2025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45806</v>
      </c>
      <c r="E124" s="1" t="n">
        <v>46257</v>
      </c>
      <c r="F124" t="inlineStr">
        <is>
          <t>VÄSTRA GÖTALANDS LÄN</t>
        </is>
      </c>
      <c r="G124" t="inlineStr">
        <is>
          <t>ULRICEHAMN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45806</v>
      </c>
      <c r="E125" s="1" t="n">
        <v>46257</v>
      </c>
      <c r="F125" t="inlineStr">
        <is>
          <t>VÄSTRA GÖTALANDS LÄN</t>
        </is>
      </c>
      <c r="G125" t="inlineStr">
        <is>
          <t>ULRICEHAMN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45324</v>
      </c>
      <c r="E126" s="1" t="n">
        <v>46257</v>
      </c>
      <c r="F126" t="inlineStr">
        <is>
          <t>VÄSTRA GÖTALANDS LÄN</t>
        </is>
      </c>
      <c r="G126" t="inlineStr">
        <is>
          <t>ULRICEHAMN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46257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46257</v>
      </c>
      <c r="F128" t="inlineStr">
        <is>
          <t>VÄSTRA GÖTALANDS LÄN</t>
        </is>
      </c>
      <c r="G128" t="inlineStr">
        <is>
          <t>ULRICEHAMN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46257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33611-2023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45132</v>
      </c>
      <c r="E130" s="1" t="n">
        <v>46257</v>
      </c>
      <c r="F130" t="inlineStr">
        <is>
          <t>VÄSTRA GÖTALANDS LÄN</t>
        </is>
      </c>
      <c r="G130" t="inlineStr">
        <is>
          <t>ULRICEHAMN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8170-2022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44609</v>
      </c>
      <c r="E131" s="1" t="n">
        <v>46257</v>
      </c>
      <c r="F131" t="inlineStr">
        <is>
          <t>VÄSTRA GÖTALANDS LÄN</t>
        </is>
      </c>
      <c r="G131" t="inlineStr">
        <is>
          <t>ULRICEHAMN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46257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Kommuner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44638</v>
      </c>
      <c r="E133" s="1" t="n">
        <v>46257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44464</v>
      </c>
      <c r="E134" s="1" t="n">
        <v>46257</v>
      </c>
      <c r="F134" t="inlineStr">
        <is>
          <t>VÄSTRA GÖTALANDS LÄN</t>
        </is>
      </c>
      <c r="G134" t="inlineStr">
        <is>
          <t>ULRICEHAMN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45473</v>
      </c>
      <c r="E135" s="1" t="n">
        <v>46257</v>
      </c>
      <c r="F135" t="inlineStr">
        <is>
          <t>VÄSTRA GÖTALANDS LÄN</t>
        </is>
      </c>
      <c r="G135" t="inlineStr">
        <is>
          <t>ULRICEHAMN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46257</v>
      </c>
      <c r="F136" t="inlineStr">
        <is>
          <t>VÄSTRA GÖTALANDS LÄN</t>
        </is>
      </c>
      <c r="G136" t="inlineStr">
        <is>
          <t>ULRICEHAMN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46257</v>
      </c>
      <c r="F137" t="inlineStr">
        <is>
          <t>VÄSTRA GÖTALANDS LÄN</t>
        </is>
      </c>
      <c r="G137" t="inlineStr">
        <is>
          <t>ULRICEHAMN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37791-2023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45159</v>
      </c>
      <c r="E138" s="1" t="n">
        <v>46257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46257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46257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45212</v>
      </c>
      <c r="E141" s="1" t="n">
        <v>46257</v>
      </c>
      <c r="F141" t="inlineStr">
        <is>
          <t>VÄSTRA GÖTALANDS LÄN</t>
        </is>
      </c>
      <c r="G141" t="inlineStr">
        <is>
          <t>ULRICEHAMN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45354</v>
      </c>
      <c r="E142" s="1" t="n">
        <v>46257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46257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46257</v>
      </c>
      <c r="F144" t="inlineStr">
        <is>
          <t>VÄSTRA GÖTALANDS LÄN</t>
        </is>
      </c>
      <c r="G144" t="inlineStr">
        <is>
          <t>ULRICEHAMN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44945</v>
      </c>
      <c r="E145" s="1" t="n">
        <v>46257</v>
      </c>
      <c r="F145" t="inlineStr">
        <is>
          <t>VÄSTRA GÖTALANDS LÄN</t>
        </is>
      </c>
      <c r="G145" t="inlineStr">
        <is>
          <t>ULRICEHAMN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46257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46257</v>
      </c>
      <c r="F147" t="inlineStr">
        <is>
          <t>VÄSTRA GÖTALANDS LÄN</t>
        </is>
      </c>
      <c r="G147" t="inlineStr">
        <is>
          <t>ULRICEHAMN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44460</v>
      </c>
      <c r="E148" s="1" t="n">
        <v>46257</v>
      </c>
      <c r="F148" t="inlineStr">
        <is>
          <t>VÄSTRA GÖTALANDS LÄN</t>
        </is>
      </c>
      <c r="G148" t="inlineStr">
        <is>
          <t>ULRICEHAMN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45233</v>
      </c>
      <c r="E149" s="1" t="n">
        <v>46257</v>
      </c>
      <c r="F149" t="inlineStr">
        <is>
          <t>VÄSTRA GÖTALANDS LÄN</t>
        </is>
      </c>
      <c r="G149" t="inlineStr">
        <is>
          <t>ULRICEHAMN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46257</v>
      </c>
      <c r="F150" t="inlineStr">
        <is>
          <t>VÄSTRA GÖTALANDS LÄN</t>
        </is>
      </c>
      <c r="G150" t="inlineStr">
        <is>
          <t>ULRICEHAMN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46257</v>
      </c>
      <c r="F151" t="inlineStr">
        <is>
          <t>VÄSTRA GÖTALANDS LÄN</t>
        </is>
      </c>
      <c r="G151" t="inlineStr">
        <is>
          <t>ULRICEHAMN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46257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45795</v>
      </c>
      <c r="E153" s="1" t="n">
        <v>46257</v>
      </c>
      <c r="F153" t="inlineStr">
        <is>
          <t>VÄSTRA GÖTALANDS LÄN</t>
        </is>
      </c>
      <c r="G153" t="inlineStr">
        <is>
          <t>ULRICEHAMN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46257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45484</v>
      </c>
      <c r="E155" s="1" t="n">
        <v>46257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46257</v>
      </c>
      <c r="F156" t="inlineStr">
        <is>
          <t>VÄSTRA GÖTALANDS LÄN</t>
        </is>
      </c>
      <c r="G156" t="inlineStr">
        <is>
          <t>ULRICEHAMN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46257</v>
      </c>
      <c r="F157" t="inlineStr">
        <is>
          <t>VÄSTRA GÖTALANDS LÄN</t>
        </is>
      </c>
      <c r="G157" t="inlineStr">
        <is>
          <t>ULRICEHAMN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46257</v>
      </c>
      <c r="F158" t="inlineStr">
        <is>
          <t>VÄSTRA GÖTALANDS LÄN</t>
        </is>
      </c>
      <c r="G158" t="inlineStr">
        <is>
          <t>ULRICEHAMN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44636</v>
      </c>
      <c r="E159" s="1" t="n">
        <v>46257</v>
      </c>
      <c r="F159" t="inlineStr">
        <is>
          <t>VÄSTRA GÖTALANDS LÄN</t>
        </is>
      </c>
      <c r="G159" t="inlineStr">
        <is>
          <t>ULRICEHAMN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44760</v>
      </c>
      <c r="E160" s="1" t="n">
        <v>46257</v>
      </c>
      <c r="F160" t="inlineStr">
        <is>
          <t>VÄSTRA GÖTALANDS LÄN</t>
        </is>
      </c>
      <c r="G160" t="inlineStr">
        <is>
          <t>ULRICEHAMN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44477</v>
      </c>
      <c r="E161" s="1" t="n">
        <v>46257</v>
      </c>
      <c r="F161" t="inlineStr">
        <is>
          <t>VÄSTRA GÖTALANDS LÄN</t>
        </is>
      </c>
      <c r="G161" t="inlineStr">
        <is>
          <t>ULRICEHAMN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46257</v>
      </c>
      <c r="F162" t="inlineStr">
        <is>
          <t>VÄSTRA GÖTALANDS LÄN</t>
        </is>
      </c>
      <c r="G162" t="inlineStr">
        <is>
          <t>ULRICEHAMN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46257</v>
      </c>
      <c r="F163" t="inlineStr">
        <is>
          <t>VÄSTRA GÖTALANDS LÄN</t>
        </is>
      </c>
      <c r="G163" t="inlineStr">
        <is>
          <t>ULRICEHAMN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46257</v>
      </c>
      <c r="F164" t="inlineStr">
        <is>
          <t>VÄSTRA GÖTALANDS LÄN</t>
        </is>
      </c>
      <c r="G164" t="inlineStr">
        <is>
          <t>ULRICEHAMN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46257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46257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44772</v>
      </c>
      <c r="E167" s="1" t="n">
        <v>46257</v>
      </c>
      <c r="F167" t="inlineStr">
        <is>
          <t>VÄSTRA GÖTALANDS LÄN</t>
        </is>
      </c>
      <c r="G167" t="inlineStr">
        <is>
          <t>ULRICEHAMN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46257</v>
      </c>
      <c r="F168" t="inlineStr">
        <is>
          <t>VÄSTRA GÖTALANDS LÄN</t>
        </is>
      </c>
      <c r="G168" t="inlineStr">
        <is>
          <t>ULRICEHAMN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45362</v>
      </c>
      <c r="E169" s="1" t="n">
        <v>46257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46257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46257</v>
      </c>
      <c r="F171" t="inlineStr">
        <is>
          <t>VÄSTRA GÖTALANDS LÄN</t>
        </is>
      </c>
      <c r="G171" t="inlineStr">
        <is>
          <t>ULRICEHAMN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46257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46257</v>
      </c>
      <c r="F173" t="inlineStr">
        <is>
          <t>VÄSTRA GÖTALANDS LÄN</t>
        </is>
      </c>
      <c r="G173" t="inlineStr">
        <is>
          <t>ULRICEHAMN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46257</v>
      </c>
      <c r="F174" t="inlineStr">
        <is>
          <t>VÄSTRA GÖTALANDS LÄN</t>
        </is>
      </c>
      <c r="G174" t="inlineStr">
        <is>
          <t>ULRICEHAMN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46257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46257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46257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46257</v>
      </c>
      <c r="F178" t="inlineStr">
        <is>
          <t>VÄSTRA GÖTALANDS LÄN</t>
        </is>
      </c>
      <c r="G178" t="inlineStr">
        <is>
          <t>ULRICEHAMN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46257</v>
      </c>
      <c r="F179" t="inlineStr">
        <is>
          <t>VÄSTRA GÖTALANDS LÄN</t>
        </is>
      </c>
      <c r="G179" t="inlineStr">
        <is>
          <t>ULRICEHAMN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46257</v>
      </c>
      <c r="F180" t="inlineStr">
        <is>
          <t>VÄSTRA GÖTALANDS LÄN</t>
        </is>
      </c>
      <c r="G180" t="inlineStr">
        <is>
          <t>ULRICEHAMN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46257</v>
      </c>
      <c r="F181" t="inlineStr">
        <is>
          <t>VÄSTRA GÖTALANDS LÄN</t>
        </is>
      </c>
      <c r="G181" t="inlineStr">
        <is>
          <t>ULRICEHAMN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46257</v>
      </c>
      <c r="F182" t="inlineStr">
        <is>
          <t>VÄSTRA GÖTALANDS LÄN</t>
        </is>
      </c>
      <c r="G182" t="inlineStr">
        <is>
          <t>ULRICEHAMN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46257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46257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46257</v>
      </c>
      <c r="F185" t="inlineStr">
        <is>
          <t>VÄSTRA GÖTALANDS LÄN</t>
        </is>
      </c>
      <c r="G185" t="inlineStr">
        <is>
          <t>ULRICEHAMN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46257</v>
      </c>
      <c r="F186" t="inlineStr">
        <is>
          <t>VÄSTRA GÖTALANDS LÄN</t>
        </is>
      </c>
      <c r="G186" t="inlineStr">
        <is>
          <t>ULRICEHAMN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26248-2023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45091</v>
      </c>
      <c r="E187" s="1" t="n">
        <v>46257</v>
      </c>
      <c r="F187" t="inlineStr">
        <is>
          <t>VÄSTRA GÖTALANDS LÄN</t>
        </is>
      </c>
      <c r="G187" t="inlineStr">
        <is>
          <t>ULRICEHAMN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45320</v>
      </c>
      <c r="E188" s="1" t="n">
        <v>46257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46257</v>
      </c>
      <c r="F189" t="inlineStr">
        <is>
          <t>VÄSTRA GÖTALANDS LÄN</t>
        </is>
      </c>
      <c r="G189" t="inlineStr">
        <is>
          <t>ULRICEHAMN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46257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64762-2021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44512</v>
      </c>
      <c r="E191" s="1" t="n">
        <v>46257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46257</v>
      </c>
      <c r="F192" t="inlineStr">
        <is>
          <t>VÄSTRA GÖTALANDS LÄN</t>
        </is>
      </c>
      <c r="G192" t="inlineStr">
        <is>
          <t>ULRICEHAMN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46257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46257</v>
      </c>
      <c r="F194" t="inlineStr">
        <is>
          <t>VÄSTRA GÖTALANDS LÄN</t>
        </is>
      </c>
      <c r="G194" t="inlineStr">
        <is>
          <t>ULRICEHAMN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46257</v>
      </c>
      <c r="F195" t="inlineStr">
        <is>
          <t>VÄSTRA GÖTALANDS LÄN</t>
        </is>
      </c>
      <c r="G195" t="inlineStr">
        <is>
          <t>ULRICEHAMN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46257</v>
      </c>
      <c r="F196" t="inlineStr">
        <is>
          <t>VÄSTRA GÖTALANDS LÄN</t>
        </is>
      </c>
      <c r="G196" t="inlineStr">
        <is>
          <t>ULRICEHAMN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45585</v>
      </c>
      <c r="E197" s="1" t="n">
        <v>46257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46257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46257</v>
      </c>
      <c r="F199" t="inlineStr">
        <is>
          <t>VÄSTRA GÖTALANDS LÄN</t>
        </is>
      </c>
      <c r="G199" t="inlineStr">
        <is>
          <t>ULRICEHAMN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46257</v>
      </c>
      <c r="F200" t="inlineStr">
        <is>
          <t>VÄSTRA GÖTALANDS LÄN</t>
        </is>
      </c>
      <c r="G200" t="inlineStr">
        <is>
          <t>ULRICEHAMN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46257</v>
      </c>
      <c r="F201" t="inlineStr">
        <is>
          <t>VÄSTRA GÖTALANDS LÄN</t>
        </is>
      </c>
      <c r="G201" t="inlineStr">
        <is>
          <t>ULRICEHAMN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46257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46257</v>
      </c>
      <c r="F203" t="inlineStr">
        <is>
          <t>VÄSTRA GÖTALANDS LÄN</t>
        </is>
      </c>
      <c r="G203" t="inlineStr">
        <is>
          <t>ULRICEHAMN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46257</v>
      </c>
      <c r="F204" t="inlineStr">
        <is>
          <t>VÄSTRA GÖTALANDS LÄN</t>
        </is>
      </c>
      <c r="G204" t="inlineStr">
        <is>
          <t>ULRICEHAMN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46257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46257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46257</v>
      </c>
      <c r="F207" t="inlineStr">
        <is>
          <t>VÄSTRA GÖTALANDS LÄN</t>
        </is>
      </c>
      <c r="G207" t="inlineStr">
        <is>
          <t>ULRICEHAMN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46257</v>
      </c>
      <c r="F208" t="inlineStr">
        <is>
          <t>VÄSTRA GÖTALANDS LÄN</t>
        </is>
      </c>
      <c r="G208" t="inlineStr">
        <is>
          <t>ULRICEHAMN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46257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46257</v>
      </c>
      <c r="F210" t="inlineStr">
        <is>
          <t>VÄSTRA GÖTALANDS LÄN</t>
        </is>
      </c>
      <c r="G210" t="inlineStr">
        <is>
          <t>ULRICEHAMN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46257</v>
      </c>
      <c r="F211" t="inlineStr">
        <is>
          <t>VÄSTRA GÖTALANDS LÄN</t>
        </is>
      </c>
      <c r="G211" t="inlineStr">
        <is>
          <t>ULRICEHAMN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46257</v>
      </c>
      <c r="F212" t="inlineStr">
        <is>
          <t>VÄSTRA GÖTALANDS LÄN</t>
        </is>
      </c>
      <c r="G212" t="inlineStr">
        <is>
          <t>ULRICEHAMN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46257</v>
      </c>
      <c r="F213" t="inlineStr">
        <is>
          <t>VÄSTRA GÖTALANDS LÄN</t>
        </is>
      </c>
      <c r="G213" t="inlineStr">
        <is>
          <t>ULRICEHAMN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46257</v>
      </c>
      <c r="F214" t="inlineStr">
        <is>
          <t>VÄSTRA GÖTALANDS LÄN</t>
        </is>
      </c>
      <c r="G214" t="inlineStr">
        <is>
          <t>ULRICEHAMN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46257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46257</v>
      </c>
      <c r="F216" t="inlineStr">
        <is>
          <t>VÄSTRA GÖTALANDS LÄN</t>
        </is>
      </c>
      <c r="G216" t="inlineStr">
        <is>
          <t>ULRICEHAMN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46257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46257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57098-2022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46257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46257</v>
      </c>
      <c r="F220" t="inlineStr">
        <is>
          <t>VÄSTRA GÖTALANDS LÄN</t>
        </is>
      </c>
      <c r="G220" t="inlineStr">
        <is>
          <t>ULRICEHAMN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44724</v>
      </c>
      <c r="E221" s="1" t="n">
        <v>46257</v>
      </c>
      <c r="F221" t="inlineStr">
        <is>
          <t>VÄSTRA GÖTALANDS LÄN</t>
        </is>
      </c>
      <c r="G221" t="inlineStr">
        <is>
          <t>ULRICEHAMN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46257</v>
      </c>
      <c r="F222" t="inlineStr">
        <is>
          <t>VÄSTRA GÖTALANDS LÄN</t>
        </is>
      </c>
      <c r="G222" t="inlineStr">
        <is>
          <t>ULRICEHAMN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46257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46257</v>
      </c>
      <c r="F224" t="inlineStr">
        <is>
          <t>VÄSTRA GÖTALANDS LÄN</t>
        </is>
      </c>
      <c r="G224" t="inlineStr">
        <is>
          <t>ULRICEHAMN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46257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46257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46257</v>
      </c>
      <c r="F227" t="inlineStr">
        <is>
          <t>VÄSTRA GÖTALANDS LÄN</t>
        </is>
      </c>
      <c r="G227" t="inlineStr">
        <is>
          <t>ULRICEHAMN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46257</v>
      </c>
      <c r="F228" t="inlineStr">
        <is>
          <t>VÄSTRA GÖTALANDS LÄN</t>
        </is>
      </c>
      <c r="G228" t="inlineStr">
        <is>
          <t>ULRICEHAMN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46257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46257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46257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46257</v>
      </c>
      <c r="F232" t="inlineStr">
        <is>
          <t>VÄSTRA GÖTALANDS LÄN</t>
        </is>
      </c>
      <c r="G232" t="inlineStr">
        <is>
          <t>ULRICEHAMN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46257</v>
      </c>
      <c r="F233" t="inlineStr">
        <is>
          <t>VÄSTRA GÖTALANDS LÄN</t>
        </is>
      </c>
      <c r="G233" t="inlineStr">
        <is>
          <t>ULRICEHAMN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46257</v>
      </c>
      <c r="F234" t="inlineStr">
        <is>
          <t>VÄSTRA GÖTALANDS LÄN</t>
        </is>
      </c>
      <c r="G234" t="inlineStr">
        <is>
          <t>ULRICEHAMN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46257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46257</v>
      </c>
      <c r="F236" t="inlineStr">
        <is>
          <t>VÄSTRA GÖTALANDS LÄN</t>
        </is>
      </c>
      <c r="G236" t="inlineStr">
        <is>
          <t>ULRICEHAMN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46257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46257</v>
      </c>
      <c r="F238" t="inlineStr">
        <is>
          <t>VÄSTRA GÖTALANDS LÄN</t>
        </is>
      </c>
      <c r="G238" t="inlineStr">
        <is>
          <t>ULRICEHAMN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46257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46257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46257</v>
      </c>
      <c r="F241" t="inlineStr">
        <is>
          <t>VÄSTRA GÖTALANDS LÄN</t>
        </is>
      </c>
      <c r="G241" t="inlineStr">
        <is>
          <t>ULRICEHAMN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46257</v>
      </c>
      <c r="F242" t="inlineStr">
        <is>
          <t>VÄSTRA GÖTALANDS LÄN</t>
        </is>
      </c>
      <c r="G242" t="inlineStr">
        <is>
          <t>ULRICEHAMN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46257</v>
      </c>
      <c r="F243" t="inlineStr">
        <is>
          <t>VÄSTRA GÖTALANDS LÄN</t>
        </is>
      </c>
      <c r="G243" t="inlineStr">
        <is>
          <t>ULRICEHAMN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46257</v>
      </c>
      <c r="F244" t="inlineStr">
        <is>
          <t>VÄSTRA GÖTALANDS LÄN</t>
        </is>
      </c>
      <c r="G244" t="inlineStr">
        <is>
          <t>ULRICEHAMN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45104</v>
      </c>
      <c r="E245" s="1" t="n">
        <v>46257</v>
      </c>
      <c r="F245" t="inlineStr">
        <is>
          <t>VÄSTRA GÖTALANDS LÄN</t>
        </is>
      </c>
      <c r="G245" t="inlineStr">
        <is>
          <t>ULRICEHAMN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45006</v>
      </c>
      <c r="E246" s="1" t="n">
        <v>46257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46257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46257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64998-2021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44514</v>
      </c>
      <c r="E249" s="1" t="n">
        <v>46257</v>
      </c>
      <c r="F249" t="inlineStr">
        <is>
          <t>VÄSTRA GÖTALANDS LÄN</t>
        </is>
      </c>
      <c r="G249" t="inlineStr">
        <is>
          <t>ULRICEHAMN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45203</v>
      </c>
      <c r="E250" s="1" t="n">
        <v>46257</v>
      </c>
      <c r="F250" t="inlineStr">
        <is>
          <t>VÄSTRA GÖTALANDS LÄN</t>
        </is>
      </c>
      <c r="G250" t="inlineStr">
        <is>
          <t>ULRICEHAMN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46257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45237</v>
      </c>
      <c r="E252" s="1" t="n">
        <v>46257</v>
      </c>
      <c r="F252" t="inlineStr">
        <is>
          <t>VÄSTRA GÖTALANDS LÄN</t>
        </is>
      </c>
      <c r="G252" t="inlineStr">
        <is>
          <t>ULRICEHAMN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46257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45087</v>
      </c>
      <c r="E254" s="1" t="n">
        <v>46257</v>
      </c>
      <c r="F254" t="inlineStr">
        <is>
          <t>VÄSTRA GÖTALANDS LÄN</t>
        </is>
      </c>
      <c r="G254" t="inlineStr">
        <is>
          <t>ULRICEHAMN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46257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46257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46257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45578</v>
      </c>
      <c r="E258" s="1" t="n">
        <v>46257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46257</v>
      </c>
      <c r="F259" t="inlineStr">
        <is>
          <t>VÄSTRA GÖTALANDS LÄN</t>
        </is>
      </c>
      <c r="G259" t="inlineStr">
        <is>
          <t>ULRICEHAMN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46257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45415</v>
      </c>
      <c r="E261" s="1" t="n">
        <v>46257</v>
      </c>
      <c r="F261" t="inlineStr">
        <is>
          <t>VÄSTRA GÖTALANDS LÄN</t>
        </is>
      </c>
      <c r="G261" t="inlineStr">
        <is>
          <t>ULRICEHAMN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46257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46257</v>
      </c>
      <c r="F263" t="inlineStr">
        <is>
          <t>VÄSTRA GÖTALANDS LÄN</t>
        </is>
      </c>
      <c r="G263" t="inlineStr">
        <is>
          <t>ULRICEHAMN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46257</v>
      </c>
      <c r="F264" t="inlineStr">
        <is>
          <t>VÄSTRA GÖTALANDS LÄN</t>
        </is>
      </c>
      <c r="G264" t="inlineStr">
        <is>
          <t>ULRICEHAMN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46257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46257</v>
      </c>
      <c r="F266" t="inlineStr">
        <is>
          <t>VÄSTRA GÖTALANDS LÄN</t>
        </is>
      </c>
      <c r="G266" t="inlineStr">
        <is>
          <t>ULRICEHAMN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46257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46257</v>
      </c>
      <c r="F268" t="inlineStr">
        <is>
          <t>VÄSTRA GÖTALANDS LÄN</t>
        </is>
      </c>
      <c r="G268" t="inlineStr">
        <is>
          <t>ULRICEHAMN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46257</v>
      </c>
      <c r="F269" t="inlineStr">
        <is>
          <t>VÄSTRA GÖTALANDS LÄN</t>
        </is>
      </c>
      <c r="G269" t="inlineStr">
        <is>
          <t>ULRICEHAMN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46257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45376</v>
      </c>
      <c r="E271" s="1" t="n">
        <v>46257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45086</v>
      </c>
      <c r="E272" s="1" t="n">
        <v>46257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46257</v>
      </c>
      <c r="F273" t="inlineStr">
        <is>
          <t>VÄSTRA GÖTALANDS LÄN</t>
        </is>
      </c>
      <c r="G273" t="inlineStr">
        <is>
          <t>ULRICEHAMN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46257</v>
      </c>
      <c r="F274" t="inlineStr">
        <is>
          <t>VÄSTRA GÖTALANDS LÄN</t>
        </is>
      </c>
      <c r="G274" t="inlineStr">
        <is>
          <t>ULRICEHAMN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46257</v>
      </c>
      <c r="F275" t="inlineStr">
        <is>
          <t>VÄSTRA GÖTALANDS LÄN</t>
        </is>
      </c>
      <c r="G275" t="inlineStr">
        <is>
          <t>ULRICEHAMN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45153</v>
      </c>
      <c r="E276" s="1" t="n">
        <v>46257</v>
      </c>
      <c r="F276" t="inlineStr">
        <is>
          <t>VÄSTRA GÖTALANDS LÄN</t>
        </is>
      </c>
      <c r="G276" t="inlineStr">
        <is>
          <t>ULRICEHAMN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45934</v>
      </c>
      <c r="E277" s="1" t="n">
        <v>46257</v>
      </c>
      <c r="F277" t="inlineStr">
        <is>
          <t>VÄSTRA GÖTALANDS LÄN</t>
        </is>
      </c>
      <c r="G277" t="inlineStr">
        <is>
          <t>ULRICEHAMN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46257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46257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45934</v>
      </c>
      <c r="E280" s="1" t="n">
        <v>46257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46257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46257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46257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46257</v>
      </c>
      <c r="F284" t="inlineStr">
        <is>
          <t>VÄSTRA GÖTALANDS LÄN</t>
        </is>
      </c>
      <c r="G284" t="inlineStr">
        <is>
          <t>ULRICEHAMN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46257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45606</v>
      </c>
      <c r="E286" s="1" t="n">
        <v>46257</v>
      </c>
      <c r="F286" t="inlineStr">
        <is>
          <t>VÄSTRA GÖTALANDS LÄN</t>
        </is>
      </c>
      <c r="G286" t="inlineStr">
        <is>
          <t>ULRICEHAMN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46257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46257</v>
      </c>
      <c r="F288" t="inlineStr">
        <is>
          <t>VÄSTRA GÖTALANDS LÄN</t>
        </is>
      </c>
      <c r="G288" t="inlineStr">
        <is>
          <t>ULRICEHAMN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46257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46257</v>
      </c>
      <c r="F290" t="inlineStr">
        <is>
          <t>VÄSTRA GÖTALANDS LÄN</t>
        </is>
      </c>
      <c r="G290" t="inlineStr">
        <is>
          <t>ULRICEHAMN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46257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46257</v>
      </c>
      <c r="F292" t="inlineStr">
        <is>
          <t>VÄSTRA GÖTALANDS LÄN</t>
        </is>
      </c>
      <c r="G292" t="inlineStr">
        <is>
          <t>ULRICEHAMN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46257</v>
      </c>
      <c r="F293" t="inlineStr">
        <is>
          <t>VÄSTRA GÖTALANDS LÄN</t>
        </is>
      </c>
      <c r="G293" t="inlineStr">
        <is>
          <t>ULRICEHAMN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45265</v>
      </c>
      <c r="E294" s="1" t="n">
        <v>46257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46257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45605</v>
      </c>
      <c r="E296" s="1" t="n">
        <v>46257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46257</v>
      </c>
      <c r="F297" t="inlineStr">
        <is>
          <t>VÄSTRA GÖTALANDS LÄN</t>
        </is>
      </c>
      <c r="G297" t="inlineStr">
        <is>
          <t>ULRICEHAMN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45006</v>
      </c>
      <c r="E298" s="1" t="n">
        <v>46257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46257</v>
      </c>
      <c r="F299" t="inlineStr">
        <is>
          <t>VÄSTRA GÖTALANDS LÄN</t>
        </is>
      </c>
      <c r="G299" t="inlineStr">
        <is>
          <t>ULRICEHAMN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46257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46257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46257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46257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46257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44971</v>
      </c>
      <c r="E305" s="1" t="n">
        <v>46257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44781</v>
      </c>
      <c r="E306" s="1" t="n">
        <v>46257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46257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46257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44916</v>
      </c>
      <c r="E309" s="1" t="n">
        <v>46257</v>
      </c>
      <c r="F309" t="inlineStr">
        <is>
          <t>VÄSTRA GÖTALANDS LÄN</t>
        </is>
      </c>
      <c r="G309" t="inlineStr">
        <is>
          <t>ULRICEHAMN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44916</v>
      </c>
      <c r="E310" s="1" t="n">
        <v>46257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45227</v>
      </c>
      <c r="E311" s="1" t="n">
        <v>46257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45626</v>
      </c>
      <c r="E312" s="1" t="n">
        <v>46257</v>
      </c>
      <c r="F312" t="inlineStr">
        <is>
          <t>VÄSTRA GÖTALANDS LÄN</t>
        </is>
      </c>
      <c r="G312" t="inlineStr">
        <is>
          <t>ULRICEHAMN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45626</v>
      </c>
      <c r="E313" s="1" t="n">
        <v>46257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46257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45666</v>
      </c>
      <c r="E315" s="1" t="n">
        <v>46257</v>
      </c>
      <c r="F315" t="inlineStr">
        <is>
          <t>VÄSTRA GÖTALANDS LÄN</t>
        </is>
      </c>
      <c r="G315" t="inlineStr">
        <is>
          <t>ULRICEHAMN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46257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46257</v>
      </c>
      <c r="F317" t="inlineStr">
        <is>
          <t>VÄSTRA GÖTALANDS LÄN</t>
        </is>
      </c>
      <c r="G317" t="inlineStr">
        <is>
          <t>ULRICEHAMN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46257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46257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46257</v>
      </c>
      <c r="F320" t="inlineStr">
        <is>
          <t>VÄSTRA GÖTALANDS LÄN</t>
        </is>
      </c>
      <c r="G320" t="inlineStr">
        <is>
          <t>ULRICEHAMN</t>
        </is>
      </c>
      <c r="I320" t="n">
        <v>16.7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46257</v>
      </c>
      <c r="F321" t="inlineStr">
        <is>
          <t>VÄSTRA GÖTALANDS LÄN</t>
        </is>
      </c>
      <c r="G321" t="inlineStr">
        <is>
          <t>ULRICEHAMN</t>
        </is>
      </c>
      <c r="I321" t="n">
        <v>17.6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46257</v>
      </c>
      <c r="F322" t="inlineStr">
        <is>
          <t>VÄSTRA GÖTALANDS LÄN</t>
        </is>
      </c>
      <c r="G322" t="inlineStr">
        <is>
          <t>ULRICEHAMN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46257</v>
      </c>
      <c r="F323" t="inlineStr">
        <is>
          <t>VÄSTRA GÖTALANDS LÄN</t>
        </is>
      </c>
      <c r="G323" t="inlineStr">
        <is>
          <t>ULRICEHAMN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46257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46257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44809</v>
      </c>
      <c r="E326" s="1" t="n">
        <v>46257</v>
      </c>
      <c r="F326" t="inlineStr">
        <is>
          <t>VÄSTRA GÖTALANDS LÄN</t>
        </is>
      </c>
      <c r="G326" t="inlineStr">
        <is>
          <t>ULRICEHAMN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46257</v>
      </c>
      <c r="F327" t="inlineStr">
        <is>
          <t>VÄSTRA GÖTALANDS LÄN</t>
        </is>
      </c>
      <c r="G327" t="inlineStr">
        <is>
          <t>ULRICEHAMN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46257</v>
      </c>
      <c r="F328" t="inlineStr">
        <is>
          <t>VÄSTRA GÖTALANDS LÄN</t>
        </is>
      </c>
      <c r="G328" t="inlineStr">
        <is>
          <t>ULRICEHAMN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46257</v>
      </c>
      <c r="F329" t="inlineStr">
        <is>
          <t>VÄSTRA GÖTALANDS LÄN</t>
        </is>
      </c>
      <c r="G329" t="inlineStr">
        <is>
          <t>ULRICEHAMN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46257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20.3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46257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46257</v>
      </c>
      <c r="F332" t="inlineStr">
        <is>
          <t>VÄSTRA GÖTALANDS LÄN</t>
        </is>
      </c>
      <c r="G332" t="inlineStr">
        <is>
          <t>ULRICEHAMN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45362</v>
      </c>
      <c r="E333" s="1" t="n">
        <v>46257</v>
      </c>
      <c r="F333" t="inlineStr">
        <is>
          <t>VÄSTRA GÖTALANDS LÄN</t>
        </is>
      </c>
      <c r="G333" t="inlineStr">
        <is>
          <t>ULRICEHAMN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46257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33631-2025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45841</v>
      </c>
      <c r="E335" s="1" t="n">
        <v>46257</v>
      </c>
      <c r="F335" t="inlineStr">
        <is>
          <t>VÄSTRA GÖTALANDS LÄN</t>
        </is>
      </c>
      <c r="G335" t="inlineStr">
        <is>
          <t>ULRICEHAMN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46257</v>
      </c>
      <c r="F336" t="inlineStr">
        <is>
          <t>VÄSTRA GÖTALANDS LÄN</t>
        </is>
      </c>
      <c r="G336" t="inlineStr">
        <is>
          <t>ULRICEHAMN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38640-2023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45162</v>
      </c>
      <c r="E337" s="1" t="n">
        <v>46257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46257</v>
      </c>
      <c r="F338" t="inlineStr">
        <is>
          <t>VÄSTRA GÖTALANDS LÄN</t>
        </is>
      </c>
      <c r="G338" t="inlineStr">
        <is>
          <t>ULRICEHAMN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45598</v>
      </c>
      <c r="E339" s="1" t="n">
        <v>46257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46257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45273</v>
      </c>
      <c r="E341" s="1" t="n">
        <v>46257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46257</v>
      </c>
      <c r="F342" t="inlineStr">
        <is>
          <t>VÄSTRA GÖTALANDS LÄN</t>
        </is>
      </c>
      <c r="G342" t="inlineStr">
        <is>
          <t>ULRICEHAMN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44638</v>
      </c>
      <c r="E343" s="1" t="n">
        <v>46257</v>
      </c>
      <c r="F343" t="inlineStr">
        <is>
          <t>VÄSTRA GÖTALANDS LÄN</t>
        </is>
      </c>
      <c r="G343" t="inlineStr">
        <is>
          <t>ULRICEHAMN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45482</v>
      </c>
      <c r="E344" s="1" t="n">
        <v>46257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46257</v>
      </c>
      <c r="F345" t="inlineStr">
        <is>
          <t>VÄSTRA GÖTALANDS LÄN</t>
        </is>
      </c>
      <c r="G345" t="inlineStr">
        <is>
          <t>ULRICEHAMN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46257</v>
      </c>
      <c r="F346" t="inlineStr">
        <is>
          <t>VÄSTRA GÖTALANDS LÄN</t>
        </is>
      </c>
      <c r="G346" t="inlineStr">
        <is>
          <t>ULRICEHAMN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46257</v>
      </c>
      <c r="F347" t="inlineStr">
        <is>
          <t>VÄSTRA GÖTALANDS LÄN</t>
        </is>
      </c>
      <c r="G347" t="inlineStr">
        <is>
          <t>ULRICEHAMN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46257</v>
      </c>
      <c r="F348" t="inlineStr">
        <is>
          <t>VÄSTRA GÖTALANDS LÄN</t>
        </is>
      </c>
      <c r="G348" t="inlineStr">
        <is>
          <t>ULRICEHAMN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46257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46257</v>
      </c>
      <c r="F350" t="inlineStr">
        <is>
          <t>VÄSTRA GÖTALANDS LÄN</t>
        </is>
      </c>
      <c r="G350" t="inlineStr">
        <is>
          <t>ULRICEHAMN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45334</v>
      </c>
      <c r="E351" s="1" t="n">
        <v>46257</v>
      </c>
      <c r="F351" t="inlineStr">
        <is>
          <t>VÄSTRA GÖTALANDS LÄN</t>
        </is>
      </c>
      <c r="G351" t="inlineStr">
        <is>
          <t>ULRICEHAMN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46257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45395</v>
      </c>
      <c r="E353" s="1" t="n">
        <v>46257</v>
      </c>
      <c r="F353" t="inlineStr">
        <is>
          <t>VÄSTRA GÖTALANDS LÄN</t>
        </is>
      </c>
      <c r="G353" t="inlineStr">
        <is>
          <t>ULRICEHAMN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45518</v>
      </c>
      <c r="E354" s="1" t="n">
        <v>46257</v>
      </c>
      <c r="F354" t="inlineStr">
        <is>
          <t>VÄSTRA GÖTALANDS LÄN</t>
        </is>
      </c>
      <c r="G354" t="inlineStr">
        <is>
          <t>ULRICEHAMN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46257</v>
      </c>
      <c r="F355" t="inlineStr">
        <is>
          <t>VÄSTRA GÖTALANDS LÄN</t>
        </is>
      </c>
      <c r="G355" t="inlineStr">
        <is>
          <t>ULRICEHAMN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46257</v>
      </c>
      <c r="F356" t="inlineStr">
        <is>
          <t>VÄSTRA GÖTALANDS LÄN</t>
        </is>
      </c>
      <c r="G356" t="inlineStr">
        <is>
          <t>ULRICEHAMN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44566</v>
      </c>
      <c r="E357" s="1" t="n">
        <v>46257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44929</v>
      </c>
      <c r="E358" s="1" t="n">
        <v>46257</v>
      </c>
      <c r="F358" t="inlineStr">
        <is>
          <t>VÄSTRA GÖTALANDS LÄN</t>
        </is>
      </c>
      <c r="G358" t="inlineStr">
        <is>
          <t>ULRICEHAMN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40650-2022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46257</v>
      </c>
      <c r="F359" t="inlineStr">
        <is>
          <t>VÄSTRA GÖTALANDS LÄN</t>
        </is>
      </c>
      <c r="G359" t="inlineStr">
        <is>
          <t>ULRICEHAMN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45399</v>
      </c>
      <c r="E360" s="1" t="n">
        <v>46257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46257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46257</v>
      </c>
      <c r="F362" t="inlineStr">
        <is>
          <t>VÄSTRA GÖTALANDS LÄN</t>
        </is>
      </c>
      <c r="G362" t="inlineStr">
        <is>
          <t>ULRICEHAMN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46257</v>
      </c>
      <c r="F363" t="inlineStr">
        <is>
          <t>VÄSTRA GÖTALANDS LÄN</t>
        </is>
      </c>
      <c r="G363" t="inlineStr">
        <is>
          <t>ULRICEHAMN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46257</v>
      </c>
      <c r="F364" t="inlineStr">
        <is>
          <t>VÄSTRA GÖTALANDS LÄN</t>
        </is>
      </c>
      <c r="G364" t="inlineStr">
        <is>
          <t>ULRICEHAMN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46257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46257</v>
      </c>
      <c r="F366" t="inlineStr">
        <is>
          <t>VÄSTRA GÖTALANDS LÄN</t>
        </is>
      </c>
      <c r="G366" t="inlineStr">
        <is>
          <t>ULRICEHAMN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46257</v>
      </c>
      <c r="F367" t="inlineStr">
        <is>
          <t>VÄSTRA GÖTALANDS LÄN</t>
        </is>
      </c>
      <c r="G367" t="inlineStr">
        <is>
          <t>ULRICEHAMN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46257</v>
      </c>
      <c r="F368" t="inlineStr">
        <is>
          <t>VÄSTRA GÖTALANDS LÄN</t>
        </is>
      </c>
      <c r="G368" t="inlineStr">
        <is>
          <t>ULRICEHAMN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46257</v>
      </c>
      <c r="F369" t="inlineStr">
        <is>
          <t>VÄSTRA GÖTALANDS LÄN</t>
        </is>
      </c>
      <c r="G369" t="inlineStr">
        <is>
          <t>ULRICEHAMN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46257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65872-2021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44517</v>
      </c>
      <c r="E371" s="1" t="n">
        <v>46257</v>
      </c>
      <c r="F371" t="inlineStr">
        <is>
          <t>VÄSTRA GÖTALANDS LÄN</t>
        </is>
      </c>
      <c r="G371" t="inlineStr">
        <is>
          <t>ULRICEHAMN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46257</v>
      </c>
      <c r="F372" t="inlineStr">
        <is>
          <t>VÄSTRA GÖTALANDS LÄN</t>
        </is>
      </c>
      <c r="G372" t="inlineStr">
        <is>
          <t>ULRICEHAMN</t>
        </is>
      </c>
      <c r="I372" t="n">
        <v>12.5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46257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46257</v>
      </c>
      <c r="F374" t="inlineStr">
        <is>
          <t>VÄSTRA GÖTALANDS LÄN</t>
        </is>
      </c>
      <c r="G374" t="inlineStr">
        <is>
          <t>ULRICEHAMN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46257</v>
      </c>
      <c r="F375" t="inlineStr">
        <is>
          <t>VÄSTRA GÖTALANDS LÄN</t>
        </is>
      </c>
      <c r="G375" t="inlineStr">
        <is>
          <t>ULRICEHAMN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44971</v>
      </c>
      <c r="E376" s="1" t="n">
        <v>46257</v>
      </c>
      <c r="F376" t="inlineStr">
        <is>
          <t>VÄSTRA GÖTALANDS LÄN</t>
        </is>
      </c>
      <c r="G376" t="inlineStr">
        <is>
          <t>ULRICEHAMN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46257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46257</v>
      </c>
      <c r="F378" t="inlineStr">
        <is>
          <t>VÄSTRA GÖTALANDS LÄN</t>
        </is>
      </c>
      <c r="G378" t="inlineStr">
        <is>
          <t>ULRICEHAMN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46257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46257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45626</v>
      </c>
      <c r="E381" s="1" t="n">
        <v>46257</v>
      </c>
      <c r="F381" t="inlineStr">
        <is>
          <t>VÄSTRA GÖTALANDS LÄN</t>
        </is>
      </c>
      <c r="G381" t="inlineStr">
        <is>
          <t>ULRICEHAMN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46257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46257</v>
      </c>
      <c r="F383" t="inlineStr">
        <is>
          <t>VÄSTRA GÖTALANDS LÄN</t>
        </is>
      </c>
      <c r="G383" t="inlineStr">
        <is>
          <t>ULRICEHAMN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45683</v>
      </c>
      <c r="E384" s="1" t="n">
        <v>46257</v>
      </c>
      <c r="F384" t="inlineStr">
        <is>
          <t>VÄSTRA GÖTALANDS LÄN</t>
        </is>
      </c>
      <c r="G384" t="inlineStr">
        <is>
          <t>ULRICEHAMN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50521-2021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46257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46257</v>
      </c>
      <c r="F386" t="inlineStr">
        <is>
          <t>VÄSTRA GÖTALANDS LÄN</t>
        </is>
      </c>
      <c r="G386" t="inlineStr">
        <is>
          <t>ULRICEHAMN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46257</v>
      </c>
      <c r="F387" t="inlineStr">
        <is>
          <t>VÄSTRA GÖTALANDS LÄN</t>
        </is>
      </c>
      <c r="G387" t="inlineStr">
        <is>
          <t>ULRICEHAMN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46257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46257</v>
      </c>
      <c r="F389" t="inlineStr">
        <is>
          <t>VÄSTRA GÖTALANDS LÄN</t>
        </is>
      </c>
      <c r="G389" t="inlineStr">
        <is>
          <t>ULRICEHAMN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46257</v>
      </c>
      <c r="F390" t="inlineStr">
        <is>
          <t>VÄSTRA GÖTALANDS LÄN</t>
        </is>
      </c>
      <c r="G390" t="inlineStr">
        <is>
          <t>ULRICEHAMN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46257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45664</v>
      </c>
      <c r="E392" s="1" t="n">
        <v>46257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46257</v>
      </c>
      <c r="F393" t="inlineStr">
        <is>
          <t>VÄSTRA GÖTALANDS LÄN</t>
        </is>
      </c>
      <c r="G393" t="inlineStr">
        <is>
          <t>ULRICEHAMN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44914</v>
      </c>
      <c r="E394" s="1" t="n">
        <v>46257</v>
      </c>
      <c r="F394" t="inlineStr">
        <is>
          <t>VÄSTRA GÖTALANDS LÄN</t>
        </is>
      </c>
      <c r="G394" t="inlineStr">
        <is>
          <t>ULRICEHAMN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46257</v>
      </c>
      <c r="F395" t="inlineStr">
        <is>
          <t>VÄSTRA GÖTALANDS LÄN</t>
        </is>
      </c>
      <c r="G395" t="inlineStr">
        <is>
          <t>ULRICEHAMN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14919-2024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45398</v>
      </c>
      <c r="E396" s="1" t="n">
        <v>46257</v>
      </c>
      <c r="F396" t="inlineStr">
        <is>
          <t>VÄSTRA GÖTALANDS LÄN</t>
        </is>
      </c>
      <c r="G396" t="inlineStr">
        <is>
          <t>ULRICEHAMN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46257</v>
      </c>
      <c r="F397" t="inlineStr">
        <is>
          <t>VÄSTRA GÖTALANDS LÄN</t>
        </is>
      </c>
      <c r="G397" t="inlineStr">
        <is>
          <t>ULRICEHAMN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44971</v>
      </c>
      <c r="E398" s="1" t="n">
        <v>46257</v>
      </c>
      <c r="F398" t="inlineStr">
        <is>
          <t>VÄSTRA GÖTALANDS LÄN</t>
        </is>
      </c>
      <c r="G398" t="inlineStr">
        <is>
          <t>ULRICEHAMN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65400-2021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44515</v>
      </c>
      <c r="E399" s="1" t="n">
        <v>46257</v>
      </c>
      <c r="F399" t="inlineStr">
        <is>
          <t>VÄSTRA GÖTALANDS LÄN</t>
        </is>
      </c>
      <c r="G399" t="inlineStr">
        <is>
          <t>ULRICEHAMN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45199</v>
      </c>
      <c r="E400" s="1" t="n">
        <v>46257</v>
      </c>
      <c r="F400" t="inlineStr">
        <is>
          <t>VÄSTRA GÖTALANDS LÄN</t>
        </is>
      </c>
      <c r="G400" t="inlineStr">
        <is>
          <t>ULRICEHAMN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45071</v>
      </c>
      <c r="E401" s="1" t="n">
        <v>46257</v>
      </c>
      <c r="F401" t="inlineStr">
        <is>
          <t>VÄSTRA GÖTALANDS LÄN</t>
        </is>
      </c>
      <c r="G401" t="inlineStr">
        <is>
          <t>ULRICEHAMN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46257</v>
      </c>
      <c r="F402" t="inlineStr">
        <is>
          <t>VÄSTRA GÖTALANDS LÄN</t>
        </is>
      </c>
      <c r="G402" t="inlineStr">
        <is>
          <t>ULRICEHAMN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45427</v>
      </c>
      <c r="E403" s="1" t="n">
        <v>46257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46257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46257</v>
      </c>
      <c r="F405" t="inlineStr">
        <is>
          <t>VÄSTRA GÖTALANDS LÄN</t>
        </is>
      </c>
      <c r="G405" t="inlineStr">
        <is>
          <t>ULRICEHAMN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45691</v>
      </c>
      <c r="E406" s="1" t="n">
        <v>46257</v>
      </c>
      <c r="F406" t="inlineStr">
        <is>
          <t>VÄSTRA GÖTALANDS LÄN</t>
        </is>
      </c>
      <c r="G406" t="inlineStr">
        <is>
          <t>ULRICEHAMN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46257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46257</v>
      </c>
      <c r="F408" t="inlineStr">
        <is>
          <t>VÄSTRA GÖTALANDS LÄN</t>
        </is>
      </c>
      <c r="G408" t="inlineStr">
        <is>
          <t>ULRICEHAMN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45157</v>
      </c>
      <c r="E409" s="1" t="n">
        <v>46257</v>
      </c>
      <c r="F409" t="inlineStr">
        <is>
          <t>VÄSTRA GÖTALANDS LÄN</t>
        </is>
      </c>
      <c r="G409" t="inlineStr">
        <is>
          <t>ULRICEHAMN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46257</v>
      </c>
      <c r="F410" t="inlineStr">
        <is>
          <t>VÄSTRA GÖTALANDS LÄN</t>
        </is>
      </c>
      <c r="G410" t="inlineStr">
        <is>
          <t>ULRICEHAMN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46257</v>
      </c>
      <c r="F411" t="inlineStr">
        <is>
          <t>VÄSTRA GÖTALANDS LÄN</t>
        </is>
      </c>
      <c r="G411" t="inlineStr">
        <is>
          <t>ULRICEHAMN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46257</v>
      </c>
      <c r="F412" t="inlineStr">
        <is>
          <t>VÄSTRA GÖTALANDS LÄN</t>
        </is>
      </c>
      <c r="G412" t="inlineStr">
        <is>
          <t>ULRICEHAMN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45043</v>
      </c>
      <c r="E413" s="1" t="n">
        <v>46257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46257</v>
      </c>
      <c r="F414" t="inlineStr">
        <is>
          <t>VÄSTRA GÖTALANDS LÄN</t>
        </is>
      </c>
      <c r="G414" t="inlineStr">
        <is>
          <t>ULRICEHAMN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46257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46257</v>
      </c>
      <c r="F416" t="inlineStr">
        <is>
          <t>VÄSTRA GÖTALANDS LÄN</t>
        </is>
      </c>
      <c r="G416" t="inlineStr">
        <is>
          <t>ULRICEHAMN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46257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46257</v>
      </c>
      <c r="F418" t="inlineStr">
        <is>
          <t>VÄSTRA GÖTALANDS LÄN</t>
        </is>
      </c>
      <c r="G418" t="inlineStr">
        <is>
          <t>ULRICEHAMN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46257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46257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46257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44965</v>
      </c>
      <c r="E422" s="1" t="n">
        <v>46257</v>
      </c>
      <c r="F422" t="inlineStr">
        <is>
          <t>VÄSTRA GÖTALANDS LÄN</t>
        </is>
      </c>
      <c r="G422" t="inlineStr">
        <is>
          <t>ULRICEHAMN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46257</v>
      </c>
      <c r="F423" t="inlineStr">
        <is>
          <t>VÄSTRA GÖTALANDS LÄN</t>
        </is>
      </c>
      <c r="G423" t="inlineStr">
        <is>
          <t>ULRICEHAMN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46257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44873</v>
      </c>
      <c r="E425" s="1" t="n">
        <v>46257</v>
      </c>
      <c r="F425" t="inlineStr">
        <is>
          <t>VÄSTRA GÖTALANDS LÄN</t>
        </is>
      </c>
      <c r="G425" t="inlineStr">
        <is>
          <t>ULRICEHAMN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61773-2022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46257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Kommuner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51665-2024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45606</v>
      </c>
      <c r="E427" s="1" t="n">
        <v>46257</v>
      </c>
      <c r="F427" t="inlineStr">
        <is>
          <t>VÄSTRA GÖTALANDS LÄN</t>
        </is>
      </c>
      <c r="G427" t="inlineStr">
        <is>
          <t>ULRICEHAMN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60704-2025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45996</v>
      </c>
      <c r="E428" s="1" t="n">
        <v>46257</v>
      </c>
      <c r="F428" t="inlineStr">
        <is>
          <t>VÄSTRA GÖTALANDS LÄN</t>
        </is>
      </c>
      <c r="G428" t="inlineStr">
        <is>
          <t>ULRICEHAMN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46257</v>
      </c>
      <c r="F429" t="inlineStr">
        <is>
          <t>VÄSTRA GÖTALANDS LÄN</t>
        </is>
      </c>
      <c r="G429" t="inlineStr">
        <is>
          <t>ULRICEHAMN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45856</v>
      </c>
      <c r="E430" s="1" t="n">
        <v>46257</v>
      </c>
      <c r="F430" t="inlineStr">
        <is>
          <t>VÄSTRA GÖTALANDS LÄN</t>
        </is>
      </c>
      <c r="G430" t="inlineStr">
        <is>
          <t>ULRICEHAMN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46257</v>
      </c>
      <c r="F431" t="inlineStr">
        <is>
          <t>VÄSTRA GÖTALANDS LÄN</t>
        </is>
      </c>
      <c r="G431" t="inlineStr">
        <is>
          <t>ULRICEHAMN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45227</v>
      </c>
      <c r="E432" s="1" t="n">
        <v>46257</v>
      </c>
      <c r="F432" t="inlineStr">
        <is>
          <t>VÄSTRA GÖTALANDS LÄN</t>
        </is>
      </c>
      <c r="G432" t="inlineStr">
        <is>
          <t>ULRICEHAMN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45227</v>
      </c>
      <c r="E433" s="1" t="n">
        <v>46257</v>
      </c>
      <c r="F433" t="inlineStr">
        <is>
          <t>VÄSTRA GÖTALANDS LÄN</t>
        </is>
      </c>
      <c r="G433" t="inlineStr">
        <is>
          <t>ULRICEHAMN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46001</v>
      </c>
      <c r="E434" s="1" t="n">
        <v>46257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46257</v>
      </c>
      <c r="F435" t="inlineStr">
        <is>
          <t>VÄSTRA GÖTALANDS LÄN</t>
        </is>
      </c>
      <c r="G435" t="inlineStr">
        <is>
          <t>ULRICEHAMN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45412</v>
      </c>
      <c r="E436" s="1" t="n">
        <v>46257</v>
      </c>
      <c r="F436" t="inlineStr">
        <is>
          <t>VÄSTRA GÖTALANDS LÄN</t>
        </is>
      </c>
      <c r="G436" t="inlineStr">
        <is>
          <t>ULRICEHAMN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45259</v>
      </c>
      <c r="E437" s="1" t="n">
        <v>46257</v>
      </c>
      <c r="F437" t="inlineStr">
        <is>
          <t>VÄSTRA GÖTALANDS LÄN</t>
        </is>
      </c>
      <c r="G437" t="inlineStr">
        <is>
          <t>ULRICEHAMN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45601</v>
      </c>
      <c r="E438" s="1" t="n">
        <v>46257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52132-2024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45608</v>
      </c>
      <c r="E439" s="1" t="n">
        <v>46257</v>
      </c>
      <c r="F439" t="inlineStr">
        <is>
          <t>VÄSTRA GÖTALANDS LÄN</t>
        </is>
      </c>
      <c r="G439" t="inlineStr">
        <is>
          <t>ULRICEHAMN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44663</v>
      </c>
      <c r="E440" s="1" t="n">
        <v>46257</v>
      </c>
      <c r="F440" t="inlineStr">
        <is>
          <t>VÄSTRA GÖTALANDS LÄN</t>
        </is>
      </c>
      <c r="G440" t="inlineStr">
        <is>
          <t>ULRICEHAMN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53829-2023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46257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Kommuner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46257</v>
      </c>
      <c r="F442" t="inlineStr">
        <is>
          <t>VÄSTRA GÖTALANDS LÄN</t>
        </is>
      </c>
      <c r="G442" t="inlineStr">
        <is>
          <t>ULRICEHAMN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45663</v>
      </c>
      <c r="E443" s="1" t="n">
        <v>46257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45498</v>
      </c>
      <c r="E444" s="1" t="n">
        <v>46257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46493-2023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45197</v>
      </c>
      <c r="E445" s="1" t="n">
        <v>46257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44800</v>
      </c>
      <c r="E446" s="1" t="n">
        <v>46257</v>
      </c>
      <c r="F446" t="inlineStr">
        <is>
          <t>VÄSTRA GÖTALANDS LÄN</t>
        </is>
      </c>
      <c r="G446" t="inlineStr">
        <is>
          <t>ULRICEHAMN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46257</v>
      </c>
      <c r="F447" t="inlineStr">
        <is>
          <t>VÄSTRA GÖTALANDS LÄN</t>
        </is>
      </c>
      <c r="G447" t="inlineStr">
        <is>
          <t>ULRICEHAMN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45357</v>
      </c>
      <c r="E448" s="1" t="n">
        <v>46257</v>
      </c>
      <c r="F448" t="inlineStr">
        <is>
          <t>VÄSTRA GÖTALANDS LÄN</t>
        </is>
      </c>
      <c r="G448" t="inlineStr">
        <is>
          <t>ULRICEHAMN</t>
        </is>
      </c>
      <c r="H448" t="inlineStr">
        <is>
          <t>Sveaskog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45009</v>
      </c>
      <c r="E449" s="1" t="n">
        <v>46257</v>
      </c>
      <c r="F449" t="inlineStr">
        <is>
          <t>VÄSTRA GÖTALANDS LÄN</t>
        </is>
      </c>
      <c r="G449" t="inlineStr">
        <is>
          <t>ULRICEHAMN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46257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62620-2021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44503</v>
      </c>
      <c r="E451" s="1" t="n">
        <v>46257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69114-2021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46257</v>
      </c>
      <c r="F452" t="inlineStr">
        <is>
          <t>VÄSTRA GÖTALANDS LÄN</t>
        </is>
      </c>
      <c r="G452" t="inlineStr">
        <is>
          <t>ULRICEHAMN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45862</v>
      </c>
      <c r="E453" s="1" t="n">
        <v>46257</v>
      </c>
      <c r="F453" t="inlineStr">
        <is>
          <t>VÄSTRA GÖTALANDS LÄN</t>
        </is>
      </c>
      <c r="G453" t="inlineStr">
        <is>
          <t>ULRICEHAMN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46257</v>
      </c>
      <c r="F454" t="inlineStr">
        <is>
          <t>VÄSTRA GÖTALANDS LÄN</t>
        </is>
      </c>
      <c r="G454" t="inlineStr">
        <is>
          <t>ULRICEHAMN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45407</v>
      </c>
      <c r="E455" s="1" t="n">
        <v>46257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27256-2024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45471</v>
      </c>
      <c r="E456" s="1" t="n">
        <v>46257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45866</v>
      </c>
      <c r="E457" s="1" t="n">
        <v>46257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15727-2022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44663</v>
      </c>
      <c r="E458" s="1" t="n">
        <v>46257</v>
      </c>
      <c r="F458" t="inlineStr">
        <is>
          <t>VÄSTRA GÖTALANDS LÄN</t>
        </is>
      </c>
      <c r="G458" t="inlineStr">
        <is>
          <t>ULRICEHAMN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45075</v>
      </c>
      <c r="E459" s="1" t="n">
        <v>46257</v>
      </c>
      <c r="F459" t="inlineStr">
        <is>
          <t>VÄSTRA GÖTALANDS LÄN</t>
        </is>
      </c>
      <c r="G459" t="inlineStr">
        <is>
          <t>ULRICEHAMN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36080-2025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45866</v>
      </c>
      <c r="E460" s="1" t="n">
        <v>46257</v>
      </c>
      <c r="F460" t="inlineStr">
        <is>
          <t>VÄSTRA GÖTALANDS LÄN</t>
        </is>
      </c>
      <c r="G460" t="inlineStr">
        <is>
          <t>ULRICEHAMN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46257</v>
      </c>
      <c r="F461" t="inlineStr">
        <is>
          <t>VÄSTRA GÖTALANDS LÄN</t>
        </is>
      </c>
      <c r="G461" t="inlineStr">
        <is>
          <t>ULRICEHAMN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46257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46257</v>
      </c>
      <c r="F463" t="inlineStr">
        <is>
          <t>VÄSTRA GÖTALANDS LÄN</t>
        </is>
      </c>
      <c r="G463" t="inlineStr">
        <is>
          <t>ULRICEHAMN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6320-2025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45698</v>
      </c>
      <c r="E464" s="1" t="n">
        <v>46257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9581-2025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45715</v>
      </c>
      <c r="E465" s="1" t="n">
        <v>46257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46257</v>
      </c>
      <c r="F466" t="inlineStr">
        <is>
          <t>VÄSTRA GÖTALANDS LÄN</t>
        </is>
      </c>
      <c r="G466" t="inlineStr">
        <is>
          <t>ULRICEHAMN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4759-2025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45688</v>
      </c>
      <c r="E467" s="1" t="n">
        <v>46257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46257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45701</v>
      </c>
      <c r="E469" s="1" t="n">
        <v>46257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46257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46257</v>
      </c>
      <c r="F471" t="inlineStr">
        <is>
          <t>VÄSTRA GÖTALANDS LÄN</t>
        </is>
      </c>
      <c r="G471" t="inlineStr">
        <is>
          <t>ULRICEHAMN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44606</v>
      </c>
      <c r="E472" s="1" t="n">
        <v>46257</v>
      </c>
      <c r="F472" t="inlineStr">
        <is>
          <t>VÄSTRA GÖTALANDS LÄN</t>
        </is>
      </c>
      <c r="G472" t="inlineStr">
        <is>
          <t>ULRICEHAMN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44812</v>
      </c>
      <c r="E473" s="1" t="n">
        <v>46257</v>
      </c>
      <c r="F473" t="inlineStr">
        <is>
          <t>VÄSTRA GÖTALANDS LÄN</t>
        </is>
      </c>
      <c r="G473" t="inlineStr">
        <is>
          <t>ULRICEHAMN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46257</v>
      </c>
      <c r="F474" t="inlineStr">
        <is>
          <t>VÄSTRA GÖTALANDS LÄN</t>
        </is>
      </c>
      <c r="G474" t="inlineStr">
        <is>
          <t>ULRICEHAMN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45868</v>
      </c>
      <c r="E475" s="1" t="n">
        <v>46257</v>
      </c>
      <c r="F475" t="inlineStr">
        <is>
          <t>VÄSTRA GÖTALANDS LÄN</t>
        </is>
      </c>
      <c r="G475" t="inlineStr">
        <is>
          <t>ULRICEHAMN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46257</v>
      </c>
      <c r="F476" t="inlineStr">
        <is>
          <t>VÄSTRA GÖTALANDS LÄN</t>
        </is>
      </c>
      <c r="G476" t="inlineStr">
        <is>
          <t>ULRICEHAMN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46257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46257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46257</v>
      </c>
      <c r="F479" t="inlineStr">
        <is>
          <t>VÄSTRA GÖTALANDS LÄN</t>
        </is>
      </c>
      <c r="G479" t="inlineStr">
        <is>
          <t>ULRICEHAMN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74199-2021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44558</v>
      </c>
      <c r="E480" s="1" t="n">
        <v>46257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46257</v>
      </c>
      <c r="F481" t="inlineStr">
        <is>
          <t>VÄSTRA GÖTALANDS LÄN</t>
        </is>
      </c>
      <c r="G481" t="inlineStr">
        <is>
          <t>ULRICEHAMN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44685</v>
      </c>
      <c r="E482" s="1" t="n">
        <v>46257</v>
      </c>
      <c r="F482" t="inlineStr">
        <is>
          <t>VÄSTRA GÖTALANDS LÄN</t>
        </is>
      </c>
      <c r="G482" t="inlineStr">
        <is>
          <t>ULRICEHAMN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46257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46257</v>
      </c>
      <c r="F484" t="inlineStr">
        <is>
          <t>VÄSTRA GÖTALANDS LÄN</t>
        </is>
      </c>
      <c r="G484" t="inlineStr">
        <is>
          <t>ULRICEHAMN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45282</v>
      </c>
      <c r="E485" s="1" t="n">
        <v>46257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46257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45538</v>
      </c>
      <c r="E487" s="1" t="n">
        <v>46257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46257</v>
      </c>
      <c r="F488" t="inlineStr">
        <is>
          <t>VÄSTRA GÖTALANDS LÄN</t>
        </is>
      </c>
      <c r="G488" t="inlineStr">
        <is>
          <t>ULRICEHAMN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45093</v>
      </c>
      <c r="E489" s="1" t="n">
        <v>46257</v>
      </c>
      <c r="F489" t="inlineStr">
        <is>
          <t>VÄSTRA GÖTALANDS LÄN</t>
        </is>
      </c>
      <c r="G489" t="inlineStr">
        <is>
          <t>ULRICEHAMN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46257</v>
      </c>
      <c r="F490" t="inlineStr">
        <is>
          <t>VÄSTRA GÖTALANDS LÄN</t>
        </is>
      </c>
      <c r="G490" t="inlineStr">
        <is>
          <t>ULRICEHAMN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45320</v>
      </c>
      <c r="E491" s="1" t="n">
        <v>46257</v>
      </c>
      <c r="F491" t="inlineStr">
        <is>
          <t>VÄSTRA GÖTALANDS LÄN</t>
        </is>
      </c>
      <c r="G491" t="inlineStr">
        <is>
          <t>ULRICEHAMN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45257</v>
      </c>
      <c r="E492" s="1" t="n">
        <v>46257</v>
      </c>
      <c r="F492" t="inlineStr">
        <is>
          <t>VÄSTRA GÖTALANDS LÄN</t>
        </is>
      </c>
      <c r="G492" t="inlineStr">
        <is>
          <t>ULRICEHAMN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64734-2023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45281</v>
      </c>
      <c r="E493" s="1" t="n">
        <v>46257</v>
      </c>
      <c r="F493" t="inlineStr">
        <is>
          <t>VÄSTRA GÖTALANDS LÄN</t>
        </is>
      </c>
      <c r="G493" t="inlineStr">
        <is>
          <t>ULRICEHAMN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64736-2023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46257</v>
      </c>
      <c r="F494" t="inlineStr">
        <is>
          <t>VÄSTRA GÖTALANDS LÄN</t>
        </is>
      </c>
      <c r="G494" t="inlineStr">
        <is>
          <t>ULRICEHAMN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45281</v>
      </c>
      <c r="E495" s="1" t="n">
        <v>46257</v>
      </c>
      <c r="F495" t="inlineStr">
        <is>
          <t>VÄSTRA GÖTALANDS LÄN</t>
        </is>
      </c>
      <c r="G495" t="inlineStr">
        <is>
          <t>ULRICEHAMN</t>
        </is>
      </c>
      <c r="I495" t="n">
        <v>14.1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44771</v>
      </c>
      <c r="E496" s="1" t="n">
        <v>46257</v>
      </c>
      <c r="F496" t="inlineStr">
        <is>
          <t>VÄSTRA GÖTALANDS LÄN</t>
        </is>
      </c>
      <c r="G496" t="inlineStr">
        <is>
          <t>ULRICEHAMN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46257</v>
      </c>
      <c r="F497" t="inlineStr">
        <is>
          <t>VÄSTRA GÖTALANDS LÄN</t>
        </is>
      </c>
      <c r="G497" t="inlineStr">
        <is>
          <t>ULRICEHAMN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46257</v>
      </c>
      <c r="F498" t="inlineStr">
        <is>
          <t>VÄSTRA GÖTALANDS LÄN</t>
        </is>
      </c>
      <c r="G498" t="inlineStr">
        <is>
          <t>ULRICEHAMN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39343-2022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44817</v>
      </c>
      <c r="E499" s="1" t="n">
        <v>46257</v>
      </c>
      <c r="F499" t="inlineStr">
        <is>
          <t>VÄSTRA GÖTALANDS LÄN</t>
        </is>
      </c>
      <c r="G499" t="inlineStr">
        <is>
          <t>ULRICEHAMN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45553</v>
      </c>
      <c r="E500" s="1" t="n">
        <v>46257</v>
      </c>
      <c r="F500" t="inlineStr">
        <is>
          <t>VÄSTRA GÖTALANDS LÄN</t>
        </is>
      </c>
      <c r="G500" t="inlineStr">
        <is>
          <t>ULRICEHAMN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45553</v>
      </c>
      <c r="E501" s="1" t="n">
        <v>46257</v>
      </c>
      <c r="F501" t="inlineStr">
        <is>
          <t>VÄSTRA GÖTALANDS LÄN</t>
        </is>
      </c>
      <c r="G501" t="inlineStr">
        <is>
          <t>ULRICEHAMN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46257</v>
      </c>
      <c r="F502" t="inlineStr">
        <is>
          <t>VÄSTRA GÖTALANDS LÄN</t>
        </is>
      </c>
      <c r="G502" t="inlineStr">
        <is>
          <t>ULRICEHAMN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46257</v>
      </c>
      <c r="F503" t="inlineStr">
        <is>
          <t>VÄSTRA GÖTALANDS LÄN</t>
        </is>
      </c>
      <c r="G503" t="inlineStr">
        <is>
          <t>ULRICEHAMN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7094-2024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45343</v>
      </c>
      <c r="E504" s="1" t="n">
        <v>46257</v>
      </c>
      <c r="F504" t="inlineStr">
        <is>
          <t>VÄSTRA GÖTALANDS LÄN</t>
        </is>
      </c>
      <c r="G504" t="inlineStr">
        <is>
          <t>ULRICEHAMN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46257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45671</v>
      </c>
      <c r="E506" s="1" t="n">
        <v>46257</v>
      </c>
      <c r="F506" t="inlineStr">
        <is>
          <t>VÄSTRA GÖTALANDS LÄN</t>
        </is>
      </c>
      <c r="G506" t="inlineStr">
        <is>
          <t>ULRICEHAMN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45659</v>
      </c>
      <c r="E507" s="1" t="n">
        <v>46257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45341</v>
      </c>
      <c r="E508" s="1" t="n">
        <v>46257</v>
      </c>
      <c r="F508" t="inlineStr">
        <is>
          <t>VÄSTRA GÖTALANDS LÄN</t>
        </is>
      </c>
      <c r="G508" t="inlineStr">
        <is>
          <t>ULRICEHAMN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45002</v>
      </c>
      <c r="E509" s="1" t="n">
        <v>46257</v>
      </c>
      <c r="F509" t="inlineStr">
        <is>
          <t>VÄSTRA GÖTALANDS LÄN</t>
        </is>
      </c>
      <c r="G509" t="inlineStr">
        <is>
          <t>ULRICEHAMN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45484</v>
      </c>
      <c r="E510" s="1" t="n">
        <v>46257</v>
      </c>
      <c r="F510" t="inlineStr">
        <is>
          <t>VÄSTRA GÖTALANDS LÄN</t>
        </is>
      </c>
      <c r="G510" t="inlineStr">
        <is>
          <t>ULRICEHAMN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45361</v>
      </c>
      <c r="E511" s="1" t="n">
        <v>46257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52681-2023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45225</v>
      </c>
      <c r="E512" s="1" t="n">
        <v>46257</v>
      </c>
      <c r="F512" t="inlineStr">
        <is>
          <t>VÄSTRA GÖTALANDS LÄN</t>
        </is>
      </c>
      <c r="G512" t="inlineStr">
        <is>
          <t>ULRICEHAMN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46257</v>
      </c>
      <c r="F513" t="inlineStr">
        <is>
          <t>VÄSTRA GÖTALANDS LÄN</t>
        </is>
      </c>
      <c r="G513" t="inlineStr">
        <is>
          <t>ULRICEHAMN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46257</v>
      </c>
      <c r="F514" t="inlineStr">
        <is>
          <t>VÄSTRA GÖTALANDS LÄN</t>
        </is>
      </c>
      <c r="G514" t="inlineStr">
        <is>
          <t>ULRICEHAMN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46257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46257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46257</v>
      </c>
      <c r="F517" t="inlineStr">
        <is>
          <t>VÄSTRA GÖTALANDS LÄN</t>
        </is>
      </c>
      <c r="G517" t="inlineStr">
        <is>
          <t>ULRICEHAMN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45140</v>
      </c>
      <c r="E518" s="1" t="n">
        <v>46257</v>
      </c>
      <c r="F518" t="inlineStr">
        <is>
          <t>VÄSTRA GÖTALANDS LÄN</t>
        </is>
      </c>
      <c r="G518" t="inlineStr">
        <is>
          <t>ULRICEHAMN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32303-2023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46257</v>
      </c>
      <c r="F519" t="inlineStr">
        <is>
          <t>VÄSTRA GÖTALANDS LÄN</t>
        </is>
      </c>
      <c r="G519" t="inlineStr">
        <is>
          <t>ULRICEHAMN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46257</v>
      </c>
      <c r="F520" t="inlineStr">
        <is>
          <t>VÄSTRA GÖTALANDS LÄN</t>
        </is>
      </c>
      <c r="G520" t="inlineStr">
        <is>
          <t>ULRICEHAMN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46257</v>
      </c>
      <c r="F521" t="inlineStr">
        <is>
          <t>VÄSTRA GÖTALANDS LÄN</t>
        </is>
      </c>
      <c r="G521" t="inlineStr">
        <is>
          <t>ULRICEHAMN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39464-2023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45166</v>
      </c>
      <c r="E522" s="1" t="n">
        <v>46257</v>
      </c>
      <c r="F522" t="inlineStr">
        <is>
          <t>VÄSTRA GÖTALANDS LÄN</t>
        </is>
      </c>
      <c r="G522" t="inlineStr">
        <is>
          <t>ULRICEHAMN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46257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46257</v>
      </c>
      <c r="F524" t="inlineStr">
        <is>
          <t>VÄSTRA GÖTALANDS LÄN</t>
        </is>
      </c>
      <c r="G524" t="inlineStr">
        <is>
          <t>ULRICEHAMN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46257</v>
      </c>
      <c r="F525" t="inlineStr">
        <is>
          <t>VÄSTRA GÖTALANDS LÄN</t>
        </is>
      </c>
      <c r="G525" t="inlineStr">
        <is>
          <t>ULRICEHAMN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37560-2025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45880</v>
      </c>
      <c r="E526" s="1" t="n">
        <v>46257</v>
      </c>
      <c r="F526" t="inlineStr">
        <is>
          <t>VÄSTRA GÖTALANDS LÄN</t>
        </is>
      </c>
      <c r="G526" t="inlineStr">
        <is>
          <t>ULRICEHAMN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52481-2021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44466</v>
      </c>
      <c r="E527" s="1" t="n">
        <v>46257</v>
      </c>
      <c r="F527" t="inlineStr">
        <is>
          <t>VÄSTRA GÖTALANDS LÄN</t>
        </is>
      </c>
      <c r="G527" t="inlineStr">
        <is>
          <t>ULRICEHAMN</t>
        </is>
      </c>
      <c r="I527" t="n">
        <v>11.9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44959</v>
      </c>
      <c r="E528" s="1" t="n">
        <v>46257</v>
      </c>
      <c r="F528" t="inlineStr">
        <is>
          <t>VÄSTRA GÖTALANDS LÄN</t>
        </is>
      </c>
      <c r="G528" t="inlineStr">
        <is>
          <t>ULRICEHAMN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46257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46257</v>
      </c>
      <c r="F530" t="inlineStr">
        <is>
          <t>VÄSTRA GÖTALANDS LÄN</t>
        </is>
      </c>
      <c r="G530" t="inlineStr">
        <is>
          <t>ULRICEHAMN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46257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46257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46257</v>
      </c>
      <c r="F533" t="inlineStr">
        <is>
          <t>VÄSTRA GÖTALANDS LÄN</t>
        </is>
      </c>
      <c r="G533" t="inlineStr">
        <is>
          <t>ULRICEHAMN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44882</v>
      </c>
      <c r="E534" s="1" t="n">
        <v>46257</v>
      </c>
      <c r="F534" t="inlineStr">
        <is>
          <t>VÄSTRA GÖTALANDS LÄN</t>
        </is>
      </c>
      <c r="G534" t="inlineStr">
        <is>
          <t>ULRICEHAMN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19864-2025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45771</v>
      </c>
      <c r="E535" s="1" t="n">
        <v>46257</v>
      </c>
      <c r="F535" t="inlineStr">
        <is>
          <t>VÄSTRA GÖTALANDS LÄN</t>
        </is>
      </c>
      <c r="G535" t="inlineStr">
        <is>
          <t>ULRICEHAMN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46257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46257</v>
      </c>
      <c r="F537" t="inlineStr">
        <is>
          <t>VÄSTRA GÖTALANDS LÄN</t>
        </is>
      </c>
      <c r="G537" t="inlineStr">
        <is>
          <t>ULRICEHAMN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44845</v>
      </c>
      <c r="E538" s="1" t="n">
        <v>46257</v>
      </c>
      <c r="F538" t="inlineStr">
        <is>
          <t>VÄSTRA GÖTALANDS LÄN</t>
        </is>
      </c>
      <c r="G538" t="inlineStr">
        <is>
          <t>ULRICEHAMN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46257</v>
      </c>
      <c r="F539" t="inlineStr">
        <is>
          <t>VÄSTRA GÖTALANDS LÄN</t>
        </is>
      </c>
      <c r="G539" t="inlineStr">
        <is>
          <t>ULRICEHAMN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14599-2024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45395</v>
      </c>
      <c r="E540" s="1" t="n">
        <v>46257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45676</v>
      </c>
      <c r="E541" s="1" t="n">
        <v>46257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46257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45626</v>
      </c>
      <c r="E543" s="1" t="n">
        <v>46257</v>
      </c>
      <c r="F543" t="inlineStr">
        <is>
          <t>VÄSTRA GÖTALANDS LÄN</t>
        </is>
      </c>
      <c r="G543" t="inlineStr">
        <is>
          <t>ULRICEHAMN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45626</v>
      </c>
      <c r="E544" s="1" t="n">
        <v>46257</v>
      </c>
      <c r="F544" t="inlineStr">
        <is>
          <t>VÄSTRA GÖTALANDS LÄN</t>
        </is>
      </c>
      <c r="G544" t="inlineStr">
        <is>
          <t>ULRICEHAMN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46257</v>
      </c>
      <c r="F545" t="inlineStr">
        <is>
          <t>VÄSTRA GÖTALANDS LÄN</t>
        </is>
      </c>
      <c r="G545" t="inlineStr">
        <is>
          <t>ULRICEHAMN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46257</v>
      </c>
      <c r="F546" t="inlineStr">
        <is>
          <t>VÄSTRA GÖTALANDS LÄN</t>
        </is>
      </c>
      <c r="G546" t="inlineStr">
        <is>
          <t>ULRICEHAMN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46257</v>
      </c>
      <c r="F547" t="inlineStr">
        <is>
          <t>VÄSTRA GÖTALANDS LÄN</t>
        </is>
      </c>
      <c r="G547" t="inlineStr">
        <is>
          <t>ULRICEHAMN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45299</v>
      </c>
      <c r="E548" s="1" t="n">
        <v>46257</v>
      </c>
      <c r="F548" t="inlineStr">
        <is>
          <t>VÄSTRA GÖTALANDS LÄN</t>
        </is>
      </c>
      <c r="G548" t="inlineStr">
        <is>
          <t>ULRICEHAMN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46257</v>
      </c>
      <c r="F549" t="inlineStr">
        <is>
          <t>VÄSTRA GÖTALANDS LÄN</t>
        </is>
      </c>
      <c r="G549" t="inlineStr">
        <is>
          <t>ULRICEHAMN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46257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46257</v>
      </c>
      <c r="F551" t="inlineStr">
        <is>
          <t>VÄSTRA GÖTALANDS LÄN</t>
        </is>
      </c>
      <c r="G551" t="inlineStr">
        <is>
          <t>ULRICEHAMN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46257</v>
      </c>
      <c r="F552" t="inlineStr">
        <is>
          <t>VÄSTRA GÖTALANDS LÄN</t>
        </is>
      </c>
      <c r="G552" t="inlineStr">
        <is>
          <t>ULRICEHAMN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46257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10431-2026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46077</v>
      </c>
      <c r="E554" s="1" t="n">
        <v>46257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46257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Sveaskog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46257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Sveaskog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46257</v>
      </c>
      <c r="F557" t="inlineStr">
        <is>
          <t>VÄSTRA GÖTALANDS LÄN</t>
        </is>
      </c>
      <c r="G557" t="inlineStr">
        <is>
          <t>ULRICEHAMN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39145-2023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46257</v>
      </c>
      <c r="F558" t="inlineStr">
        <is>
          <t>VÄSTRA GÖTALANDS LÄN</t>
        </is>
      </c>
      <c r="G558" t="inlineStr">
        <is>
          <t>ULRICEHAMN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7978-2026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46257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46257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46257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45190</v>
      </c>
      <c r="E562" s="1" t="n">
        <v>46257</v>
      </c>
      <c r="F562" t="inlineStr">
        <is>
          <t>VÄSTRA GÖTALANDS LÄN</t>
        </is>
      </c>
      <c r="G562" t="inlineStr">
        <is>
          <t>ULRICEHAMN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46257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46224</v>
      </c>
      <c r="E564" s="1" t="n">
        <v>46257</v>
      </c>
      <c r="F564" t="inlineStr">
        <is>
          <t>VÄSTRA GÖTALANDS LÄN</t>
        </is>
      </c>
      <c r="G564" t="inlineStr">
        <is>
          <t>ULRICEHAMN</t>
        </is>
      </c>
      <c r="H564" t="inlineStr">
        <is>
          <t>Kyrkan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46257</v>
      </c>
      <c r="F565" t="inlineStr">
        <is>
          <t>VÄSTRA GÖTALANDS LÄN</t>
        </is>
      </c>
      <c r="G565" t="inlineStr">
        <is>
          <t>ULRICEHAMN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46257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61908-2021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44501</v>
      </c>
      <c r="E567" s="1" t="n">
        <v>46257</v>
      </c>
      <c r="F567" t="inlineStr">
        <is>
          <t>VÄSTRA GÖTALANDS LÄN</t>
        </is>
      </c>
      <c r="G567" t="inlineStr">
        <is>
          <t>ULRICEHAMN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46257</v>
      </c>
      <c r="F568" t="inlineStr">
        <is>
          <t>VÄSTRA GÖTALANDS LÄN</t>
        </is>
      </c>
      <c r="G568" t="inlineStr">
        <is>
          <t>ULRICEHAMN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46257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46257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46257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42438-2024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45565</v>
      </c>
      <c r="E572" s="1" t="n">
        <v>46257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46257</v>
      </c>
      <c r="F573" t="inlineStr">
        <is>
          <t>VÄSTRA GÖTALANDS LÄN</t>
        </is>
      </c>
      <c r="G573" t="inlineStr">
        <is>
          <t>ULRICEHAMN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46257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46257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58204-2023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45250</v>
      </c>
      <c r="E576" s="1" t="n">
        <v>46257</v>
      </c>
      <c r="F576" t="inlineStr">
        <is>
          <t>VÄSTRA GÖTALANDS LÄN</t>
        </is>
      </c>
      <c r="G576" t="inlineStr">
        <is>
          <t>ULRICEHAMN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31863-2026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46231</v>
      </c>
      <c r="E577" s="1" t="n">
        <v>46257</v>
      </c>
      <c r="F577" t="inlineStr">
        <is>
          <t>VÄSTRA GÖTALANDS LÄN</t>
        </is>
      </c>
      <c r="G577" t="inlineStr">
        <is>
          <t>ULRICEHAMN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46257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28888-2023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45104</v>
      </c>
      <c r="E579" s="1" t="n">
        <v>46257</v>
      </c>
      <c r="F579" t="inlineStr">
        <is>
          <t>VÄSTRA GÖTALANDS LÄN</t>
        </is>
      </c>
      <c r="G579" t="inlineStr">
        <is>
          <t>ULRICEHAMN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46257</v>
      </c>
      <c r="F580" t="inlineStr">
        <is>
          <t>VÄSTRA GÖTALANDS LÄN</t>
        </is>
      </c>
      <c r="G580" t="inlineStr">
        <is>
          <t>ULRICEHAMN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14038-2023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45008</v>
      </c>
      <c r="E581" s="1" t="n">
        <v>46257</v>
      </c>
      <c r="F581" t="inlineStr">
        <is>
          <t>VÄSTRA GÖTALANDS LÄN</t>
        </is>
      </c>
      <c r="G581" t="inlineStr">
        <is>
          <t>ULRICEHAMN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46257</v>
      </c>
      <c r="F582" t="inlineStr">
        <is>
          <t>VÄSTRA GÖTALANDS LÄN</t>
        </is>
      </c>
      <c r="G582" t="inlineStr">
        <is>
          <t>ULRICEHAMN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30664-2022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44763</v>
      </c>
      <c r="E583" s="1" t="n">
        <v>46257</v>
      </c>
      <c r="F583" t="inlineStr">
        <is>
          <t>VÄSTRA GÖTALANDS LÄN</t>
        </is>
      </c>
      <c r="G583" t="inlineStr">
        <is>
          <t>ULRICEHAMN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46257</v>
      </c>
      <c r="F584" t="inlineStr">
        <is>
          <t>VÄSTRA GÖTALANDS LÄN</t>
        </is>
      </c>
      <c r="G584" t="inlineStr">
        <is>
          <t>ULRICEHAMN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46257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45552</v>
      </c>
      <c r="E586" s="1" t="n">
        <v>46257</v>
      </c>
      <c r="F586" t="inlineStr">
        <is>
          <t>VÄSTRA GÖTALANDS LÄN</t>
        </is>
      </c>
      <c r="G586" t="inlineStr">
        <is>
          <t>ULRICEHAMN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46257</v>
      </c>
      <c r="F587" t="inlineStr">
        <is>
          <t>VÄSTRA GÖTALANDS LÄN</t>
        </is>
      </c>
      <c r="G587" t="inlineStr">
        <is>
          <t>ULRICEHAMN</t>
        </is>
      </c>
      <c r="I587" t="n">
        <v>6.7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46257</v>
      </c>
      <c r="F588" t="inlineStr">
        <is>
          <t>VÄSTRA GÖTALANDS LÄN</t>
        </is>
      </c>
      <c r="G588" t="inlineStr">
        <is>
          <t>ULRICEHAMN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46257</v>
      </c>
      <c r="F589" t="inlineStr">
        <is>
          <t>VÄSTRA GÖTALANDS LÄN</t>
        </is>
      </c>
      <c r="G589" t="inlineStr">
        <is>
          <t>ULRICEHAMN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46257</v>
      </c>
      <c r="F590" t="inlineStr">
        <is>
          <t>VÄSTRA GÖTALANDS LÄN</t>
        </is>
      </c>
      <c r="G590" t="inlineStr">
        <is>
          <t>ULRICEHAMN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45139</v>
      </c>
      <c r="E591" s="1" t="n">
        <v>46257</v>
      </c>
      <c r="F591" t="inlineStr">
        <is>
          <t>VÄSTRA GÖTALANDS LÄN</t>
        </is>
      </c>
      <c r="G591" t="inlineStr">
        <is>
          <t>ULRICEHAMN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46257</v>
      </c>
      <c r="F592" t="inlineStr">
        <is>
          <t>VÄSTRA GÖTALANDS LÄN</t>
        </is>
      </c>
      <c r="G592" t="inlineStr">
        <is>
          <t>ULRICEHAMN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45408</v>
      </c>
      <c r="E593" s="1" t="n">
        <v>46257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46257</v>
      </c>
      <c r="F594" t="inlineStr">
        <is>
          <t>VÄSTRA GÖTALANDS LÄN</t>
        </is>
      </c>
      <c r="G594" t="inlineStr">
        <is>
          <t>ULRICEHAMN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27824-2026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46257</v>
      </c>
      <c r="F595" t="inlineStr">
        <is>
          <t>VÄSTRA GÖTALANDS LÄN</t>
        </is>
      </c>
      <c r="G595" t="inlineStr">
        <is>
          <t>ULRICEHAMN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26350-2022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44735</v>
      </c>
      <c r="E596" s="1" t="n">
        <v>46257</v>
      </c>
      <c r="F596" t="inlineStr">
        <is>
          <t>VÄSTRA GÖTALANDS LÄN</t>
        </is>
      </c>
      <c r="G596" t="inlineStr">
        <is>
          <t>ULRICEHAMN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46257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16657-2026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46257</v>
      </c>
      <c r="F598" t="inlineStr">
        <is>
          <t>VÄSTRA GÖTALANDS LÄN</t>
        </is>
      </c>
      <c r="G598" t="inlineStr">
        <is>
          <t>ULRICEHAMN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46257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46238</v>
      </c>
      <c r="E600" s="1" t="n">
        <v>46257</v>
      </c>
      <c r="F600" t="inlineStr">
        <is>
          <t>VÄSTRA GÖTALANDS LÄN</t>
        </is>
      </c>
      <c r="G600" t="inlineStr">
        <is>
          <t>ULRICEHAMN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46257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46257</v>
      </c>
      <c r="F602" t="inlineStr">
        <is>
          <t>VÄSTRA GÖTALANDS LÄN</t>
        </is>
      </c>
      <c r="G602" t="inlineStr">
        <is>
          <t>ULRICEHAMN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45033</v>
      </c>
      <c r="E603" s="1" t="n">
        <v>46257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46118</v>
      </c>
      <c r="E604" s="1" t="n">
        <v>46257</v>
      </c>
      <c r="F604" t="inlineStr">
        <is>
          <t>VÄSTRA GÖTALANDS LÄN</t>
        </is>
      </c>
      <c r="G604" t="inlineStr">
        <is>
          <t>ULRICEHAMN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38182-2023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45161</v>
      </c>
      <c r="E605" s="1" t="n">
        <v>46257</v>
      </c>
      <c r="F605" t="inlineStr">
        <is>
          <t>VÄSTRA GÖTALANDS LÄN</t>
        </is>
      </c>
      <c r="G605" t="inlineStr">
        <is>
          <t>ULRICEHAMN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46121</v>
      </c>
      <c r="E606" s="1" t="n">
        <v>46257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46257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46257</v>
      </c>
      <c r="F608" t="inlineStr">
        <is>
          <t>VÄSTRA GÖTALANDS LÄN</t>
        </is>
      </c>
      <c r="G608" t="inlineStr">
        <is>
          <t>ULRICEHAMN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45377</v>
      </c>
      <c r="E609" s="1" t="n">
        <v>46257</v>
      </c>
      <c r="F609" t="inlineStr">
        <is>
          <t>VÄSTRA GÖTALANDS LÄN</t>
        </is>
      </c>
      <c r="G609" t="inlineStr">
        <is>
          <t>ULRICEHAMN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46240</v>
      </c>
      <c r="E610" s="1" t="n">
        <v>46257</v>
      </c>
      <c r="F610" t="inlineStr">
        <is>
          <t>VÄSTRA GÖTALANDS LÄN</t>
        </is>
      </c>
      <c r="G610" t="inlineStr">
        <is>
          <t>ULRICEHAMN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46257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46257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Kyrkan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46257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Kyrkan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46257</v>
      </c>
      <c r="F614" t="inlineStr">
        <is>
          <t>VÄSTRA GÖTALANDS LÄN</t>
        </is>
      </c>
      <c r="G614" t="inlineStr">
        <is>
          <t>ULRICEHAMN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45363</v>
      </c>
      <c r="E615" s="1" t="n">
        <v>46257</v>
      </c>
      <c r="F615" t="inlineStr">
        <is>
          <t>VÄSTRA GÖTALANDS LÄN</t>
        </is>
      </c>
      <c r="G615" t="inlineStr">
        <is>
          <t>ULRICEHAMN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45474</v>
      </c>
      <c r="E616" s="1" t="n">
        <v>46257</v>
      </c>
      <c r="F616" t="inlineStr">
        <is>
          <t>VÄSTRA GÖTALANDS LÄN</t>
        </is>
      </c>
      <c r="G616" t="inlineStr">
        <is>
          <t>ULRICEHAMN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48242-2024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46257</v>
      </c>
      <c r="F617" t="inlineStr">
        <is>
          <t>VÄSTRA GÖTALANDS LÄN</t>
        </is>
      </c>
      <c r="G617" t="inlineStr">
        <is>
          <t>ULRICEHAMN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46245</v>
      </c>
      <c r="E618" s="1" t="n">
        <v>46257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45573</v>
      </c>
      <c r="E619" s="1" t="n">
        <v>46257</v>
      </c>
      <c r="F619" t="inlineStr">
        <is>
          <t>VÄSTRA GÖTALANDS LÄN</t>
        </is>
      </c>
      <c r="G619" t="inlineStr">
        <is>
          <t>ULRICEHAMN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45227</v>
      </c>
      <c r="E620" s="1" t="n">
        <v>46257</v>
      </c>
      <c r="F620" t="inlineStr">
        <is>
          <t>VÄSTRA GÖTALANDS LÄN</t>
        </is>
      </c>
      <c r="G620" t="inlineStr">
        <is>
          <t>ULRICEHAMN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43943-2023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45187</v>
      </c>
      <c r="E621" s="1" t="n">
        <v>46257</v>
      </c>
      <c r="F621" t="inlineStr">
        <is>
          <t>VÄSTRA GÖTALANDS LÄN</t>
        </is>
      </c>
      <c r="G621" t="inlineStr">
        <is>
          <t>ULRICEHAMN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46257</v>
      </c>
      <c r="F622" t="inlineStr">
        <is>
          <t>VÄSTRA GÖTALANDS LÄN</t>
        </is>
      </c>
      <c r="G622" t="inlineStr">
        <is>
          <t>ULRICEHAMN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45257</v>
      </c>
      <c r="E623" s="1" t="n">
        <v>46257</v>
      </c>
      <c r="F623" t="inlineStr">
        <is>
          <t>VÄSTRA GÖTALANDS LÄN</t>
        </is>
      </c>
      <c r="G623" t="inlineStr">
        <is>
          <t>ULRICEHAMN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45691</v>
      </c>
      <c r="E624" s="1" t="n">
        <v>46257</v>
      </c>
      <c r="F624" t="inlineStr">
        <is>
          <t>VÄSTRA GÖTALANDS LÄN</t>
        </is>
      </c>
      <c r="G624" t="inlineStr">
        <is>
          <t>ULRICEHAMN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46257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45408</v>
      </c>
      <c r="E626" s="1" t="n">
        <v>46257</v>
      </c>
      <c r="F626" t="inlineStr">
        <is>
          <t>VÄSTRA GÖTALANDS LÄN</t>
        </is>
      </c>
      <c r="G626" t="inlineStr">
        <is>
          <t>ULRICEHAMN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45947</v>
      </c>
      <c r="E627" s="1" t="n">
        <v>46257</v>
      </c>
      <c r="F627" t="inlineStr">
        <is>
          <t>VÄSTRA GÖTALANDS LÄN</t>
        </is>
      </c>
      <c r="G627" t="inlineStr">
        <is>
          <t>ULRICEHAMN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45558</v>
      </c>
      <c r="E628" s="1" t="n">
        <v>46257</v>
      </c>
      <c r="F628" t="inlineStr">
        <is>
          <t>VÄSTRA GÖTALANDS LÄN</t>
        </is>
      </c>
      <c r="G628" t="inlineStr">
        <is>
          <t>ULRICEHAMN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46248</v>
      </c>
      <c r="E629" s="1" t="n">
        <v>46257</v>
      </c>
      <c r="F629" t="inlineStr">
        <is>
          <t>VÄSTRA GÖTALANDS LÄN</t>
        </is>
      </c>
      <c r="G629" t="inlineStr">
        <is>
          <t>ULRICEHAMN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45332</v>
      </c>
      <c r="E630" s="1" t="n">
        <v>46257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45134</v>
      </c>
      <c r="E631" s="1" t="n">
        <v>46257</v>
      </c>
      <c r="F631" t="inlineStr">
        <is>
          <t>VÄSTRA GÖTALANDS LÄN</t>
        </is>
      </c>
      <c r="G631" t="inlineStr">
        <is>
          <t>ULRICEHAMN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46257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46223</v>
      </c>
      <c r="E633" s="1" t="n">
        <v>46257</v>
      </c>
      <c r="F633" t="inlineStr">
        <is>
          <t>VÄSTRA GÖTALANDS LÄN</t>
        </is>
      </c>
      <c r="G633" t="inlineStr">
        <is>
          <t>ULRICEHAMN</t>
        </is>
      </c>
      <c r="H633" t="inlineStr">
        <is>
          <t>Sveaskog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44593</v>
      </c>
      <c r="E634" s="1" t="n">
        <v>46257</v>
      </c>
      <c r="F634" t="inlineStr">
        <is>
          <t>VÄSTRA GÖTALANDS LÄN</t>
        </is>
      </c>
      <c r="G634" t="inlineStr">
        <is>
          <t>ULRICEHAMN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56295-2023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45242</v>
      </c>
      <c r="E635" s="1" t="n">
        <v>46257</v>
      </c>
      <c r="F635" t="inlineStr">
        <is>
          <t>VÄSTRA GÖTALANDS LÄN</t>
        </is>
      </c>
      <c r="G635" t="inlineStr">
        <is>
          <t>ULRICEHAMN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37685-2022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44810</v>
      </c>
      <c r="E636" s="1" t="n">
        <v>46257</v>
      </c>
      <c r="F636" t="inlineStr">
        <is>
          <t>VÄSTRA GÖTALANDS LÄN</t>
        </is>
      </c>
      <c r="G636" t="inlineStr">
        <is>
          <t>ULRICEHAMN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59749-2025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45992</v>
      </c>
      <c r="E637" s="1" t="n">
        <v>46257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45797</v>
      </c>
      <c r="E638" s="1" t="n">
        <v>46257</v>
      </c>
      <c r="F638" t="inlineStr">
        <is>
          <t>VÄSTRA GÖTALANDS LÄN</t>
        </is>
      </c>
      <c r="G638" t="inlineStr">
        <is>
          <t>ULRICEHAMN</t>
        </is>
      </c>
      <c r="H638" t="inlineStr">
        <is>
          <t>Sveaskog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46257</v>
      </c>
      <c r="F639" t="inlineStr">
        <is>
          <t>VÄSTRA GÖTALANDS LÄN</t>
        </is>
      </c>
      <c r="G639" t="inlineStr">
        <is>
          <t>ULRICEHAMN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46257</v>
      </c>
      <c r="F640" t="inlineStr">
        <is>
          <t>VÄSTRA GÖTALANDS LÄN</t>
        </is>
      </c>
      <c r="G640" t="inlineStr">
        <is>
          <t>ULRICEHAMN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46257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40365-2025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45895</v>
      </c>
      <c r="E642" s="1" t="n">
        <v>46257</v>
      </c>
      <c r="F642" t="inlineStr">
        <is>
          <t>VÄSTRA GÖTALANDS LÄN</t>
        </is>
      </c>
      <c r="G642" t="inlineStr">
        <is>
          <t>ULRICEHAMN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46257</v>
      </c>
      <c r="F643" t="inlineStr">
        <is>
          <t>VÄSTRA GÖTALANDS LÄN</t>
        </is>
      </c>
      <c r="G643" t="inlineStr">
        <is>
          <t>ULRICEHAMN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31940-2025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45835</v>
      </c>
      <c r="E644" s="1" t="n">
        <v>46257</v>
      </c>
      <c r="F644" t="inlineStr">
        <is>
          <t>VÄSTRA GÖTALANDS LÄN</t>
        </is>
      </c>
      <c r="G644" t="inlineStr">
        <is>
          <t>ULRICEHAMN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27865-2023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46257</v>
      </c>
      <c r="F645" t="inlineStr">
        <is>
          <t>VÄSTRA GÖTALANDS LÄN</t>
        </is>
      </c>
      <c r="G645" t="inlineStr">
        <is>
          <t>ULRICEHAMN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63012-2023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45272</v>
      </c>
      <c r="E646" s="1" t="n">
        <v>46257</v>
      </c>
      <c r="F646" t="inlineStr">
        <is>
          <t>VÄSTRA GÖTALANDS LÄN</t>
        </is>
      </c>
      <c r="G646" t="inlineStr">
        <is>
          <t>ULRICEHAMN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46150</v>
      </c>
      <c r="E647" s="1" t="n">
        <v>46257</v>
      </c>
      <c r="F647" t="inlineStr">
        <is>
          <t>VÄSTRA GÖTALANDS LÄN</t>
        </is>
      </c>
      <c r="G647" t="inlineStr">
        <is>
          <t>ULRICEHAMN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46257</v>
      </c>
      <c r="F648" t="inlineStr">
        <is>
          <t>VÄSTRA GÖTALANDS LÄN</t>
        </is>
      </c>
      <c r="G648" t="inlineStr">
        <is>
          <t>ULRICEHAMN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45086</v>
      </c>
      <c r="E649" s="1" t="n">
        <v>46257</v>
      </c>
      <c r="F649" t="inlineStr">
        <is>
          <t>VÄSTRA GÖTALANDS LÄN</t>
        </is>
      </c>
      <c r="G649" t="inlineStr">
        <is>
          <t>ULRICEHAMN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46257</v>
      </c>
      <c r="F650" t="inlineStr">
        <is>
          <t>VÄSTRA GÖTALANDS LÄN</t>
        </is>
      </c>
      <c r="G650" t="inlineStr">
        <is>
          <t>ULRICEHAMN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45924</v>
      </c>
      <c r="E651" s="1" t="n">
        <v>46257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44565</v>
      </c>
      <c r="E652" s="1" t="n">
        <v>46257</v>
      </c>
      <c r="F652" t="inlineStr">
        <is>
          <t>VÄSTRA GÖTALANDS LÄN</t>
        </is>
      </c>
      <c r="G652" t="inlineStr">
        <is>
          <t>ULRICEHAMN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46257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46257</v>
      </c>
      <c r="F654" t="inlineStr">
        <is>
          <t>VÄSTRA GÖTALANDS LÄN</t>
        </is>
      </c>
      <c r="G654" t="inlineStr">
        <is>
          <t>ULRICEHAMN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46257</v>
      </c>
      <c r="F655" t="inlineStr">
        <is>
          <t>VÄSTRA GÖTALANDS LÄN</t>
        </is>
      </c>
      <c r="G655" t="inlineStr">
        <is>
          <t>ULRICEHAMN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46257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51392-2024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45604</v>
      </c>
      <c r="E657" s="1" t="n">
        <v>46257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22407-2023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45070</v>
      </c>
      <c r="E658" s="1" t="n">
        <v>46257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12934-2022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46257</v>
      </c>
      <c r="F659" t="inlineStr">
        <is>
          <t>VÄSTRA GÖTALANDS LÄN</t>
        </is>
      </c>
      <c r="G659" t="inlineStr">
        <is>
          <t>ULRICEHAMN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46257</v>
      </c>
      <c r="F660" t="inlineStr">
        <is>
          <t>VÄSTRA GÖTALANDS LÄN</t>
        </is>
      </c>
      <c r="G660" t="inlineStr">
        <is>
          <t>ULRICEHAMN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46257</v>
      </c>
      <c r="F661" t="inlineStr">
        <is>
          <t>VÄSTRA GÖTALANDS LÄN</t>
        </is>
      </c>
      <c r="G661" t="inlineStr">
        <is>
          <t>ULRICEHAMN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46257</v>
      </c>
      <c r="F662" t="inlineStr">
        <is>
          <t>VÄSTRA GÖTALANDS LÄN</t>
        </is>
      </c>
      <c r="G662" t="inlineStr">
        <is>
          <t>ULRICEHAMN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46257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20891-2023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45059</v>
      </c>
      <c r="E664" s="1" t="n">
        <v>46257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20891-2023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45059</v>
      </c>
      <c r="E665" s="1" t="n">
        <v>46257</v>
      </c>
      <c r="F665" t="inlineStr">
        <is>
          <t>VÄSTRA GÖTALANDS LÄN</t>
        </is>
      </c>
      <c r="G665" t="inlineStr">
        <is>
          <t>ULRICEHAMN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45168</v>
      </c>
      <c r="E666" s="1" t="n">
        <v>46257</v>
      </c>
      <c r="F666" t="inlineStr">
        <is>
          <t>VÄSTRA GÖTALANDS LÄN</t>
        </is>
      </c>
      <c r="G666" t="inlineStr">
        <is>
          <t>ULRICEHAMN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40035-2023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45168</v>
      </c>
      <c r="E667" s="1" t="n">
        <v>46257</v>
      </c>
      <c r="F667" t="inlineStr">
        <is>
          <t>VÄSTRA GÖTALANDS LÄN</t>
        </is>
      </c>
      <c r="G667" t="inlineStr">
        <is>
          <t>ULRICEHAMN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45038</v>
      </c>
      <c r="E668" s="1" t="n">
        <v>46257</v>
      </c>
      <c r="F668" t="inlineStr">
        <is>
          <t>VÄSTRA GÖTALANDS LÄN</t>
        </is>
      </c>
      <c r="G668" t="inlineStr">
        <is>
          <t>ULRICEHAMN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59985-2022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46257</v>
      </c>
      <c r="F669" t="inlineStr">
        <is>
          <t>VÄSTRA GÖTALANDS LÄN</t>
        </is>
      </c>
      <c r="G669" t="inlineStr">
        <is>
          <t>ULRICEHAMN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16275-2025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45750</v>
      </c>
      <c r="E670" s="1" t="n">
        <v>46257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45745</v>
      </c>
      <c r="E671" s="1" t="n">
        <v>46257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46257</v>
      </c>
      <c r="F672" t="inlineStr">
        <is>
          <t>VÄSTRA GÖTALANDS LÄN</t>
        </is>
      </c>
      <c r="G672" t="inlineStr">
        <is>
          <t>ULRICEHAMN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46257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44967</v>
      </c>
      <c r="E674" s="1" t="n">
        <v>46257</v>
      </c>
      <c r="F674" t="inlineStr">
        <is>
          <t>VÄSTRA GÖTALANDS LÄN</t>
        </is>
      </c>
      <c r="G674" t="inlineStr">
        <is>
          <t>ULRICEHAMN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46257</v>
      </c>
      <c r="F675" t="inlineStr">
        <is>
          <t>VÄSTRA GÖTALANDS LÄN</t>
        </is>
      </c>
      <c r="G675" t="inlineStr">
        <is>
          <t>ULRICEHAMN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45643</v>
      </c>
      <c r="E676" s="1" t="n">
        <v>46257</v>
      </c>
      <c r="F676" t="inlineStr">
        <is>
          <t>VÄSTRA GÖTALANDS LÄN</t>
        </is>
      </c>
      <c r="G676" t="inlineStr">
        <is>
          <t>ULRICEHAMN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46257</v>
      </c>
      <c r="F677" t="inlineStr">
        <is>
          <t>VÄSTRA GÖTALANDS LÄN</t>
        </is>
      </c>
      <c r="G677" t="inlineStr">
        <is>
          <t>ULRICEHAMN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46257</v>
      </c>
      <c r="F678" t="inlineStr">
        <is>
          <t>VÄSTRA GÖTALANDS LÄN</t>
        </is>
      </c>
      <c r="G678" t="inlineStr">
        <is>
          <t>ULRICEHAMN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60992-2021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44497</v>
      </c>
      <c r="E679" s="1" t="n">
        <v>46257</v>
      </c>
      <c r="F679" t="inlineStr">
        <is>
          <t>VÄSTRA GÖTALANDS LÄN</t>
        </is>
      </c>
      <c r="G679" t="inlineStr">
        <is>
          <t>ULRICEHAMN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45090</v>
      </c>
      <c r="E680" s="1" t="n">
        <v>46257</v>
      </c>
      <c r="F680" t="inlineStr">
        <is>
          <t>VÄSTRA GÖTALANDS LÄN</t>
        </is>
      </c>
      <c r="G680" t="inlineStr">
        <is>
          <t>ULRICEHAMN</t>
        </is>
      </c>
      <c r="I680" t="n">
        <v>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49912-2021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44455</v>
      </c>
      <c r="E681" s="1" t="n">
        <v>46257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44672</v>
      </c>
      <c r="E682" s="1" t="n">
        <v>46257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46257</v>
      </c>
      <c r="F683" t="inlineStr">
        <is>
          <t>VÄSTRA GÖTALANDS LÄN</t>
        </is>
      </c>
      <c r="G683" t="inlineStr">
        <is>
          <t>ULRICEHAMN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44613</v>
      </c>
      <c r="E684" s="1" t="n">
        <v>46257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Sveaskog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38056-2024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46257</v>
      </c>
      <c r="F685" t="inlineStr">
        <is>
          <t>VÄSTRA GÖTALANDS LÄN</t>
        </is>
      </c>
      <c r="G685" t="inlineStr">
        <is>
          <t>ULRICEHAMN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45158</v>
      </c>
      <c r="E686" s="1" t="n">
        <v>46257</v>
      </c>
      <c r="F686" t="inlineStr">
        <is>
          <t>VÄSTRA GÖTALANDS LÄN</t>
        </is>
      </c>
      <c r="G686" t="inlineStr">
        <is>
          <t>ULRICEHAMN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45428</v>
      </c>
      <c r="E687" s="1" t="n">
        <v>46257</v>
      </c>
      <c r="F687" t="inlineStr">
        <is>
          <t>VÄSTRA GÖTALANDS LÄN</t>
        </is>
      </c>
      <c r="G687" t="inlineStr">
        <is>
          <t>ULRICEHAMN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46257</v>
      </c>
      <c r="F688" t="inlineStr">
        <is>
          <t>VÄSTRA GÖTALANDS LÄN</t>
        </is>
      </c>
      <c r="G688" t="inlineStr">
        <is>
          <t>ULRICEHAMN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45471</v>
      </c>
      <c r="E689" s="1" t="n">
        <v>46257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44658</v>
      </c>
      <c r="E690" s="1" t="n">
        <v>46257</v>
      </c>
      <c r="F690" t="inlineStr">
        <is>
          <t>VÄSTRA GÖTALANDS LÄN</t>
        </is>
      </c>
      <c r="G690" t="inlineStr">
        <is>
          <t>ULRICEHAMN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58560-2021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44488</v>
      </c>
      <c r="E691" s="1" t="n">
        <v>46257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46150</v>
      </c>
      <c r="E692" s="1" t="n">
        <v>46257</v>
      </c>
      <c r="F692" t="inlineStr">
        <is>
          <t>VÄSTRA GÖTALANDS LÄN</t>
        </is>
      </c>
      <c r="G692" t="inlineStr">
        <is>
          <t>ULRICEHAMN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45015</v>
      </c>
      <c r="E693" s="1" t="n">
        <v>46257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45071</v>
      </c>
      <c r="E694" s="1" t="n">
        <v>46257</v>
      </c>
      <c r="F694" t="inlineStr">
        <is>
          <t>VÄSTRA GÖTALANDS LÄN</t>
        </is>
      </c>
      <c r="G694" t="inlineStr">
        <is>
          <t>ULRICEHAMN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46257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53825-2025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45961</v>
      </c>
      <c r="E696" s="1" t="n">
        <v>46257</v>
      </c>
      <c r="F696" t="inlineStr">
        <is>
          <t>VÄSTRA GÖTALANDS LÄN</t>
        </is>
      </c>
      <c r="G696" t="inlineStr">
        <is>
          <t>ULRICEHAMN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45782</v>
      </c>
      <c r="E697" s="1" t="n">
        <v>46257</v>
      </c>
      <c r="F697" t="inlineStr">
        <is>
          <t>VÄSTRA GÖTALANDS LÄN</t>
        </is>
      </c>
      <c r="G697" t="inlineStr">
        <is>
          <t>ULRICEHAMN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46257</v>
      </c>
      <c r="F698" t="inlineStr">
        <is>
          <t>VÄSTRA GÖTALANDS LÄN</t>
        </is>
      </c>
      <c r="G698" t="inlineStr">
        <is>
          <t>ULRICEHAMN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46257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45412</v>
      </c>
      <c r="E700" s="1" t="n">
        <v>46257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46257</v>
      </c>
      <c r="F701" t="inlineStr">
        <is>
          <t>VÄSTRA GÖTALANDS LÄN</t>
        </is>
      </c>
      <c r="G701" t="inlineStr">
        <is>
          <t>ULRICEHAMN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8368-2025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45709</v>
      </c>
      <c r="E702" s="1" t="n">
        <v>46257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46257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46257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45790</v>
      </c>
      <c r="E705" s="1" t="n">
        <v>46257</v>
      </c>
      <c r="F705" t="inlineStr">
        <is>
          <t>VÄSTRA GÖTALANDS LÄN</t>
        </is>
      </c>
      <c r="G705" t="inlineStr">
        <is>
          <t>ULRICEHAMN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24347-2025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45797</v>
      </c>
      <c r="E706" s="1" t="n">
        <v>46257</v>
      </c>
      <c r="F706" t="inlineStr">
        <is>
          <t>VÄSTRA GÖTALANDS LÄN</t>
        </is>
      </c>
      <c r="G706" t="inlineStr">
        <is>
          <t>ULRICEHAMN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24901-2025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45799</v>
      </c>
      <c r="E707" s="1" t="n">
        <v>46257</v>
      </c>
      <c r="F707" t="inlineStr">
        <is>
          <t>VÄSTRA GÖTALANDS LÄN</t>
        </is>
      </c>
      <c r="G707" t="inlineStr">
        <is>
          <t>ULRICEHAMN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46257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46257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46257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46257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46257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46257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46257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46257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46257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46257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46257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46257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2026-08-23T01:52:30Z</dcterms:created>
  <dcterms:modified xmlns:dcterms="http://purl.org/dc/terms/" xmlns:xsi="http://www.w3.org/2001/XMLSchema-instance" xsi:type="dcterms:W3CDTF">2026-08-23T01:52:30Z</dcterms:modified>
</cp:coreProperties>
</file>