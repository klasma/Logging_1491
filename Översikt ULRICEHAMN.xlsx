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45786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45786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45786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45786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45786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45786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45786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45786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45786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45786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45786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45786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45786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45786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45786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45786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45786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45786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45786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45786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45786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45786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21290-2025</t>
        </is>
      </c>
      <c r="B24" s="1" t="n">
        <v>45779</v>
      </c>
      <c r="C24" s="1" t="n">
        <v>45786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HYPERLINK("https://klasma.github.io/Logging_141491/artfynd/A 21290-2025 artfynd.xlsx", "A 21290-2025")</f>
        <v/>
      </c>
      <c r="T24">
        <f>HYPERLINK("https://klasma.github.io/Logging_141491/kartor/A 21290-2025 karta.png", "A 21290-2025")</f>
        <v/>
      </c>
      <c r="V24">
        <f>HYPERLINK("https://klasma.github.io/Logging_141491/klagomål/A 21290-2025 FSC-klagomål.docx", "A 21290-2025")</f>
        <v/>
      </c>
      <c r="W24">
        <f>HYPERLINK("https://klasma.github.io/Logging_141491/klagomålsmail/A 21290-2025 FSC-klagomål mail.docx", "A 21290-2025")</f>
        <v/>
      </c>
      <c r="X24">
        <f>HYPERLINK("https://klasma.github.io/Logging_141491/tillsyn/A 21290-2025 tillsynsbegäran.docx", "A 21290-2025")</f>
        <v/>
      </c>
      <c r="Y24">
        <f>HYPERLINK("https://klasma.github.io/Logging_141491/tillsynsmail/A 21290-2025 tillsynsbegäran mail.docx", "A 21290-2025")</f>
        <v/>
      </c>
    </row>
    <row r="25" ht="15" customHeight="1">
      <c r="A25" t="inlineStr">
        <is>
          <t>A 21672-2025</t>
        </is>
      </c>
      <c r="B25" s="1" t="n">
        <v>45783</v>
      </c>
      <c r="C25" s="1" t="n">
        <v>45786</v>
      </c>
      <c r="D25" t="inlineStr">
        <is>
          <t>VÄSTRA GÖTALANDS LÄN</t>
        </is>
      </c>
      <c r="E25" t="inlineStr">
        <is>
          <t>ULRICEHAMN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HYPERLINK("https://klasma.github.io/Logging_141491/artfynd/A 21672-2025 artfynd.xlsx", "A 21672-2025")</f>
        <v/>
      </c>
      <c r="T25">
        <f>HYPERLINK("https://klasma.github.io/Logging_141491/kartor/A 21672-2025 karta.png", "A 21672-2025")</f>
        <v/>
      </c>
      <c r="V25">
        <f>HYPERLINK("https://klasma.github.io/Logging_141491/klagomål/A 21672-2025 FSC-klagomål.docx", "A 21672-2025")</f>
        <v/>
      </c>
      <c r="W25">
        <f>HYPERLINK("https://klasma.github.io/Logging_141491/klagomålsmail/A 21672-2025 FSC-klagomål mail.docx", "A 21672-2025")</f>
        <v/>
      </c>
      <c r="X25">
        <f>HYPERLINK("https://klasma.github.io/Logging_141491/tillsyn/A 21672-2025 tillsynsbegäran.docx", "A 21672-2025")</f>
        <v/>
      </c>
      <c r="Y25">
        <f>HYPERLINK("https://klasma.github.io/Logging_141491/tillsynsmail/A 21672-2025 tillsynsbegäran mail.docx", "A 21672-2025")</f>
        <v/>
      </c>
      <c r="Z25">
        <f>HYPERLINK("https://klasma.github.io/Logging_141491/fåglar/A 21672-2025 prioriterade fågelarter.docx", "A 21672-2025")</f>
        <v/>
      </c>
    </row>
    <row r="26" ht="15" customHeight="1">
      <c r="A26" t="inlineStr">
        <is>
          <t>A 22060-2025</t>
        </is>
      </c>
      <c r="B26" s="1" t="n">
        <v>45785</v>
      </c>
      <c r="C26" s="1" t="n">
        <v>45786</v>
      </c>
      <c r="D26" t="inlineStr">
        <is>
          <t>VÄSTRA GÖTALANDS LÄN</t>
        </is>
      </c>
      <c r="E26" t="inlineStr">
        <is>
          <t>ULRICEHAMN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22060-2025 artfynd.xlsx", "A 22060-2025")</f>
        <v/>
      </c>
      <c r="T26">
        <f>HYPERLINK("https://klasma.github.io/Logging_141491/kartor/A 22060-2025 karta.png", "A 22060-2025")</f>
        <v/>
      </c>
      <c r="V26">
        <f>HYPERLINK("https://klasma.github.io/Logging_141491/klagomål/A 22060-2025 FSC-klagomål.docx", "A 22060-2025")</f>
        <v/>
      </c>
      <c r="W26">
        <f>HYPERLINK("https://klasma.github.io/Logging_141491/klagomålsmail/A 22060-2025 FSC-klagomål mail.docx", "A 22060-2025")</f>
        <v/>
      </c>
      <c r="X26">
        <f>HYPERLINK("https://klasma.github.io/Logging_141491/tillsyn/A 22060-2025 tillsynsbegäran.docx", "A 22060-2025")</f>
        <v/>
      </c>
      <c r="Y26">
        <f>HYPERLINK("https://klasma.github.io/Logging_141491/tillsynsmail/A 22060-2025 tillsynsbegäran mail.docx", "A 22060-2025")</f>
        <v/>
      </c>
      <c r="Z26">
        <f>HYPERLINK("https://klasma.github.io/Logging_141491/fåglar/A 22060-2025 prioriterade fågelarter.docx", "A 22060-2025")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45786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45786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45786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45786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45786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45786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45786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45786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45786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45786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45786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45786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45786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45786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45786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45786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45786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45786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45786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45786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45786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45786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45786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45786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45786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45786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45786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45786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45786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45786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45786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45786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45786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45786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45786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45786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45786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45786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45786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45786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45786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45786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45786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45786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45786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45786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45786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45786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45786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45786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45786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45786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45786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45786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45786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45786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45786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45786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45786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45786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45786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45786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45786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45786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45786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45786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45786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45786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45786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45786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45786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45786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45786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45786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45786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45786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45786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45786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45786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45786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45786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45786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45786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45786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45786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45786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45786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45786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45786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45786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45786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45786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45786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45786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45786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45786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45786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45786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45786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45786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45786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45786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45786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45786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45786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45786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45786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45786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45786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45786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45786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45786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45786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45786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45786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45786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45786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45786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45786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45786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45786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45786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45786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45786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45786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45786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45786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45786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45786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45786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45786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45786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45786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45786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45786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45786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45786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45786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45786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45786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45786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45786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45786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45786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45786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45786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45786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45786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45786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45786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45786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45786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45786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45786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45786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45786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45786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45786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45786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45786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45786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45786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45786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45786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45786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45786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45786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45786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45786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45786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45786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45786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45786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45786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45786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45786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45786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45786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45786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45786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45786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45786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45786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45786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45786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45786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45786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45786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45786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45786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45786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45786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45786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45786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45786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45786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45786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45786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45786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45786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45786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45786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45786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45786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45786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45786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45786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45786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45786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45786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45786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45786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45786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45786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45786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45786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45786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45786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45786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45786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45786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45786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45786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45786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45786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45786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45786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45786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45786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45786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45786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45786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45786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45786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45786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45786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45786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45786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45786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45786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45786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45786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45786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45786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45786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45786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45786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45786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45786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45786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45786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45786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45786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45786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45786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45786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45786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45786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45786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45786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45786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45786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45786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45786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45786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45786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45786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45786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45786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45786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45786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45786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45786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45786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45786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45786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45786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45786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45786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45786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45786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45786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45786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45786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45786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45786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45786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45786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45786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45786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45786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45786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45786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45786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45786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45786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45786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45786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45786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45786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45786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45786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45786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45786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45786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45786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45786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45786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45786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45786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45786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45786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45786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45786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45786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45786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45786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45786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45786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45786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45786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45786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45786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45786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45786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45786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45786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45786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45786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45786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45786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45786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45786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45786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45786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45786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45786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45786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45786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45786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45786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45786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45786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45786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45786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45786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45786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45786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45786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45786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45786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45786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45786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45786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45786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45786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45786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45786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45786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45786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45786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45786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45786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45786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45786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45786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45786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45786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45786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45786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45786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45786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45786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45786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45786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45786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45786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45786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45786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45786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45786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45786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45786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45786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45786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45786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45786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45786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45786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45786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45786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45786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45786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45786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45786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45786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45786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45786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45786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45786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45786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45786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45786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45786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45786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45786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45786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45786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45786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45786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45786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45786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45786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45786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45786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45786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45786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45786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45786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45786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45786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45786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45786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45786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45786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45786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45786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45786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45786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45786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45786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45786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45786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45786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45786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45786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45786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45786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45786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45786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45786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45786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45786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45786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45786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45786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45786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45786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45786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45786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45786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45786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45786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45786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45786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45786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45786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45786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45786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45786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45786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45786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45786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45786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45786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45786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45786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45786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45786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45786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45786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45786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45786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45786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45786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45786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45786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45786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45786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45786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45786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45786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45786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45786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45786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45786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45786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45786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45786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45786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45786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45786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45786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45786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45786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45786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45786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45786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45786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45786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45786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45786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45786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45786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45786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45786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45786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45786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45786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45786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45786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45786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45786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45786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45786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45786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45786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45786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45786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45786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45786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45786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45786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45786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45786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45786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45786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45786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45786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45786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45786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45786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45786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45786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45786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45786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45786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45786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45786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45786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45786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45786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45786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45786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45786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45786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45786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45786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45786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45786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45786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45786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45786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45786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45786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45786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45786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45786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45786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45786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45786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45786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45786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45786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45786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45786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45786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45786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45786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45786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45786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45786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45786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45786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45786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45786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45786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45786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45786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45786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45786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45786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45786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45786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45786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45786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45786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45786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45786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45786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45786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45786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45786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45786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45786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45786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45786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45786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45786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45786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45786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45786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45786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45786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45786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45786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45786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45786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45786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45786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45786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45786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45786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45786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45786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45786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45786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45786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45786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45786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45786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45786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45786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45786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45786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45786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45786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45786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45786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45786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45786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45786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45786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45786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45786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45786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45786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45786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45786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45786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45786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45786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45786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45786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45786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45786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45786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45786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45786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45786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45786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45786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45786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45786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45786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45786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45786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45786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45786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45786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45786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45786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45786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45786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45786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45786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45786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45786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45786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45786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45786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45786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45786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45786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45786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45786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45786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45786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45786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45786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45786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45786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45786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45786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45786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45786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45786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45786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45786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45786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45786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45786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45786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45786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45786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45786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45786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45786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45786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45786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45786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45786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45786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45786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45786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45786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45786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45786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45786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45786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45786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45786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45786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45786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45786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45786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45786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45786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45786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45786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45786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45786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45786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45786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45786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45786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45786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45786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45786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45786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45786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45786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45786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45786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45786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45786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45786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45786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45786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45786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45786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45786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45786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45786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45786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45786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45786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45786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45786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45786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45786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45786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45786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45786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45786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45786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45786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45786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45786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45786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45786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45786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45786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45786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45786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45786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45786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45786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45786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45786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45786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45786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45786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45786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45786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45786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45786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45786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45786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45786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45786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45786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45786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45786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45786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45786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45786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45786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45786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45786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45786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45786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45786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45786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45786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45786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45786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45786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45786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45786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45786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45786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45786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45786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45786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45786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45786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45786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45786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45786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45786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45786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45786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45786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45786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45786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45786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45786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45786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45786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45786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45786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45786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45786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45786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45786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45786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45786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45786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45786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45786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45786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45786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45786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45786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45786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45786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45786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45786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45786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45786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45786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45786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45786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45786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45786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45786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45786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45786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45786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45786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45786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45786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45786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45786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45786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45786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45786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45786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45786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45786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45786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45786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45786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45786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45786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45786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45786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45786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45786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45786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45786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45786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45786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45786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45786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45786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45786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45786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45786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45786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45786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45786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45786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45786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45786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45786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45786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45786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45786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45786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45786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45786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45786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45786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45786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45786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45786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45786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45786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45786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45786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45786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45786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45786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45786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45786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45786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45786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45786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45786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45786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45786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45786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45786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45786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45786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45786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45786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45786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45786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45786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45786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45786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45786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45786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45786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45786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45786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45786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45786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45786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45786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45786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45786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45786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45786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45786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45786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45786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45786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45786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45786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45786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45786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45786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45786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45786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45786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45786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45786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45786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45786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45786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45786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45786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45786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45786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45786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45786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45786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45786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45786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45786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45786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45786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45786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45786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45786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45786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45786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45786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45786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45786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45786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45786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45786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45786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45786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45786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45786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45786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45786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45786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45786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45786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45786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45786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45786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45786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45786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45786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45786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45786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45786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45786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45786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45786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45786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45786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45786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45786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45786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45786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45786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45786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45786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45786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45786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45786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45786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45786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45786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45786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45786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45786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45786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45786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45786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45786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45786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45786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45786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45786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45786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45786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45786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45786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45786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45786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45786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45786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45786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45786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45786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45786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45786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45786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45786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45786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45786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45786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45786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45786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45786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45786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45786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45786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45786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45786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45786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45786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45786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45786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45786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45786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45786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45786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45786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45786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45786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45786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45786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45786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45786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45786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45786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45786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45786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45786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45786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45786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45786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45786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45786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45786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45786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45786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45786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45786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45786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45786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45786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45786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45786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45786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45786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45786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45786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45786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45786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45786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45786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45786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45786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45786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45786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45786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45786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45786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45786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45786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45786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45786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45786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45786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45786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45786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45786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45786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45786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45786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45786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45786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45786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45786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45786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45786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45786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45786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45786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45786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45786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45786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45786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45786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45786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45786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45786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45786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45786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45786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45786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45786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45786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45786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45786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45786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45786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45786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45786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45786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45786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45786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45786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45786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45786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45786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45786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45786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45786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45786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45786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45786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45786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45786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45786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45786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45786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45786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45786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45786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45786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45786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45786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45786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45786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45786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45786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45786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45786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45786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45786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45786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45786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45786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45786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45786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45786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45786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45786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45786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45786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45786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45786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45786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45786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45786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45786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45786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45786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45786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45786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45786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45786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45786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45786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45786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45786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45786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45786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45786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45786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45786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45786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45786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45786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45786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45786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45786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45786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45786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45786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45786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45786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45786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45786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45786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45786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45786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45786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45786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45786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45786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45786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45786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45786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45786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45786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45786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45786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45786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45786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45786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45786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45786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45786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45786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45786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45786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45786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45786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45786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45786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45786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45786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45786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45786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45786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45786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45786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45786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45786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45786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45786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45786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45786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45786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45786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45786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45786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45786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45786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45786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45786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45786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45786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45786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45786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45786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45786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45786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45786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45786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45786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45786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45786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45786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45786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45786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45786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45786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45786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45786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45786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45786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45786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45786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45786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45786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45786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45786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45786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45786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45786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45786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45786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45786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45786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45786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45786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45786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45786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45786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45786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45786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45786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45786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45786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45786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45786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45786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45786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45786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45786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45786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45786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45786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45786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45786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45786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45786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45786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45786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45786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45786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45786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45786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45786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45786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45786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45786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45786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45786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45786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45786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45786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45786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45786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45786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45786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45786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45786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45786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45786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45786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45786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45786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45786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45786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45786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45786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45786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45786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45786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45786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45786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45786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45786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45786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17563-2025</t>
        </is>
      </c>
      <c r="B1387" s="1" t="n">
        <v>45757</v>
      </c>
      <c r="C1387" s="1" t="n">
        <v>45786</v>
      </c>
      <c r="D1387" t="inlineStr">
        <is>
          <t>VÄSTRA GÖTALANDS LÄN</t>
        </is>
      </c>
      <c r="E1387" t="inlineStr">
        <is>
          <t>ULRICEHAMN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17585-2025</t>
        </is>
      </c>
      <c r="B1388" s="1" t="n">
        <v>45757</v>
      </c>
      <c r="C1388" s="1" t="n">
        <v>45786</v>
      </c>
      <c r="D1388" t="inlineStr">
        <is>
          <t>VÄSTRA GÖTALANDS LÄN</t>
        </is>
      </c>
      <c r="E1388" t="inlineStr">
        <is>
          <t>ULRICEHAMN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17588-2025</t>
        </is>
      </c>
      <c r="B1389" s="1" t="n">
        <v>45757</v>
      </c>
      <c r="C1389" s="1" t="n">
        <v>45786</v>
      </c>
      <c r="D1389" t="inlineStr">
        <is>
          <t>VÄSTRA GÖTALANDS LÄN</t>
        </is>
      </c>
      <c r="E1389" t="inlineStr">
        <is>
          <t>ULRICEHAMN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17586-2025</t>
        </is>
      </c>
      <c r="B1390" s="1" t="n">
        <v>45757</v>
      </c>
      <c r="C1390" s="1" t="n">
        <v>45786</v>
      </c>
      <c r="D1390" t="inlineStr">
        <is>
          <t>VÄSTRA GÖTALANDS LÄN</t>
        </is>
      </c>
      <c r="E1390" t="inlineStr">
        <is>
          <t>ULRICEHAMN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17482-2025</t>
        </is>
      </c>
      <c r="B1391" s="1" t="n">
        <v>45757</v>
      </c>
      <c r="C1391" s="1" t="n">
        <v>45786</v>
      </c>
      <c r="D1391" t="inlineStr">
        <is>
          <t>VÄSTRA GÖTALANDS LÄN</t>
        </is>
      </c>
      <c r="E1391" t="inlineStr">
        <is>
          <t>ULRICEHAMN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45786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17584-2025</t>
        </is>
      </c>
      <c r="B1393" s="1" t="n">
        <v>45757</v>
      </c>
      <c r="C1393" s="1" t="n">
        <v>45786</v>
      </c>
      <c r="D1393" t="inlineStr">
        <is>
          <t>VÄSTRA GÖTALANDS LÄN</t>
        </is>
      </c>
      <c r="E1393" t="inlineStr">
        <is>
          <t>ULRICEHAMN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19163-2025</t>
        </is>
      </c>
      <c r="B1394" s="1" t="n">
        <v>45769</v>
      </c>
      <c r="C1394" s="1" t="n">
        <v>45786</v>
      </c>
      <c r="D1394" t="inlineStr">
        <is>
          <t>VÄSTRA GÖTALANDS LÄN</t>
        </is>
      </c>
      <c r="E1394" t="inlineStr">
        <is>
          <t>ULRICEHAMN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19416-2025</t>
        </is>
      </c>
      <c r="B1395" s="1" t="n">
        <v>45769</v>
      </c>
      <c r="C1395" s="1" t="n">
        <v>45786</v>
      </c>
      <c r="D1395" t="inlineStr">
        <is>
          <t>VÄSTRA GÖTALANDS LÄN</t>
        </is>
      </c>
      <c r="E1395" t="inlineStr">
        <is>
          <t>ULRICEHAMN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19687-2025</t>
        </is>
      </c>
      <c r="B1396" s="1" t="n">
        <v>45770</v>
      </c>
      <c r="C1396" s="1" t="n">
        <v>45786</v>
      </c>
      <c r="D1396" t="inlineStr">
        <is>
          <t>VÄSTRA GÖTALANDS LÄN</t>
        </is>
      </c>
      <c r="E1396" t="inlineStr">
        <is>
          <t>ULRICEHAMN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19691-2025</t>
        </is>
      </c>
      <c r="B1397" s="1" t="n">
        <v>45770</v>
      </c>
      <c r="C1397" s="1" t="n">
        <v>45786</v>
      </c>
      <c r="D1397" t="inlineStr">
        <is>
          <t>VÄSTRA GÖTALANDS LÄN</t>
        </is>
      </c>
      <c r="E1397" t="inlineStr">
        <is>
          <t>ULRICEHAMN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19833-2025</t>
        </is>
      </c>
      <c r="B1398" s="1" t="n">
        <v>45771</v>
      </c>
      <c r="C1398" s="1" t="n">
        <v>45786</v>
      </c>
      <c r="D1398" t="inlineStr">
        <is>
          <t>VÄSTRA GÖTALANDS LÄN</t>
        </is>
      </c>
      <c r="E1398" t="inlineStr">
        <is>
          <t>ULRICEHAMN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19864-2025</t>
        </is>
      </c>
      <c r="B1399" s="1" t="n">
        <v>45771</v>
      </c>
      <c r="C1399" s="1" t="n">
        <v>45786</v>
      </c>
      <c r="D1399" t="inlineStr">
        <is>
          <t>VÄSTRA GÖTALANDS LÄN</t>
        </is>
      </c>
      <c r="E1399" t="inlineStr">
        <is>
          <t>ULRICEHAMN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19823-2025</t>
        </is>
      </c>
      <c r="B1400" s="1" t="n">
        <v>45771</v>
      </c>
      <c r="C1400" s="1" t="n">
        <v>45786</v>
      </c>
      <c r="D1400" t="inlineStr">
        <is>
          <t>VÄSTRA GÖTALANDS LÄN</t>
        </is>
      </c>
      <c r="E1400" t="inlineStr">
        <is>
          <t>ULRICEHAMN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20465-2025</t>
        </is>
      </c>
      <c r="B1401" s="1" t="n">
        <v>45775</v>
      </c>
      <c r="C1401" s="1" t="n">
        <v>45786</v>
      </c>
      <c r="D1401" t="inlineStr">
        <is>
          <t>VÄSTRA GÖTALANDS LÄN</t>
        </is>
      </c>
      <c r="E1401" t="inlineStr">
        <is>
          <t>ULRICEHAMN</t>
        </is>
      </c>
      <c r="G1401" t="n">
        <v>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20484-2025</t>
        </is>
      </c>
      <c r="B1402" s="1" t="n">
        <v>45775</v>
      </c>
      <c r="C1402" s="1" t="n">
        <v>45786</v>
      </c>
      <c r="D1402" t="inlineStr">
        <is>
          <t>VÄSTRA GÖTALANDS LÄN</t>
        </is>
      </c>
      <c r="E1402" t="inlineStr">
        <is>
          <t>ULRICEHAMN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45786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45786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21419-2025</t>
        </is>
      </c>
      <c r="B1405" s="1" t="n">
        <v>45782</v>
      </c>
      <c r="C1405" s="1" t="n">
        <v>45786</v>
      </c>
      <c r="D1405" t="inlineStr">
        <is>
          <t>VÄSTRA GÖTALANDS LÄN</t>
        </is>
      </c>
      <c r="E1405" t="inlineStr">
        <is>
          <t>ULRICEHAMN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21342-2025</t>
        </is>
      </c>
      <c r="B1406" s="1" t="n">
        <v>45782</v>
      </c>
      <c r="C1406" s="1" t="n">
        <v>45786</v>
      </c>
      <c r="D1406" t="inlineStr">
        <is>
          <t>VÄSTRA GÖTALANDS LÄN</t>
        </is>
      </c>
      <c r="E1406" t="inlineStr">
        <is>
          <t>ULRICEHAMN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21314-2025</t>
        </is>
      </c>
      <c r="B1407" s="1" t="n">
        <v>45782</v>
      </c>
      <c r="C1407" s="1" t="n">
        <v>45786</v>
      </c>
      <c r="D1407" t="inlineStr">
        <is>
          <t>VÄSTRA GÖTALANDS LÄN</t>
        </is>
      </c>
      <c r="E1407" t="inlineStr">
        <is>
          <t>ULRICEHAMN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21830-2025</t>
        </is>
      </c>
      <c r="B1408" s="1" t="n">
        <v>45784</v>
      </c>
      <c r="C1408" s="1" t="n">
        <v>45786</v>
      </c>
      <c r="D1408" t="inlineStr">
        <is>
          <t>VÄSTRA GÖTALANDS LÄN</t>
        </is>
      </c>
      <c r="E1408" t="inlineStr">
        <is>
          <t>ULRICEHAMN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21831-2025</t>
        </is>
      </c>
      <c r="B1409" s="1" t="n">
        <v>45784</v>
      </c>
      <c r="C1409" s="1" t="n">
        <v>45786</v>
      </c>
      <c r="D1409" t="inlineStr">
        <is>
          <t>VÄSTRA GÖTALANDS LÄN</t>
        </is>
      </c>
      <c r="E1409" t="inlineStr">
        <is>
          <t>ULRICEHAMN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21918-2025</t>
        </is>
      </c>
      <c r="B1410" s="1" t="n">
        <v>45784</v>
      </c>
      <c r="C1410" s="1" t="n">
        <v>45786</v>
      </c>
      <c r="D1410" t="inlineStr">
        <is>
          <t>VÄSTRA GÖTALANDS LÄN</t>
        </is>
      </c>
      <c r="E1410" t="inlineStr">
        <is>
          <t>ULRICEHAMN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21934-2025</t>
        </is>
      </c>
      <c r="B1411" s="1" t="n">
        <v>45784</v>
      </c>
      <c r="C1411" s="1" t="n">
        <v>45786</v>
      </c>
      <c r="D1411" t="inlineStr">
        <is>
          <t>VÄSTRA GÖTALANDS LÄN</t>
        </is>
      </c>
      <c r="E1411" t="inlineStr">
        <is>
          <t>ULRICEHAMN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22110-2025</t>
        </is>
      </c>
      <c r="B1412" s="1" t="n">
        <v>45785</v>
      </c>
      <c r="C1412" s="1" t="n">
        <v>45786</v>
      </c>
      <c r="D1412" t="inlineStr">
        <is>
          <t>VÄSTRA GÖTALANDS LÄN</t>
        </is>
      </c>
      <c r="E1412" t="inlineStr">
        <is>
          <t>ULRICEHAMN</t>
        </is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>
      <c r="A1413" t="inlineStr">
        <is>
          <t>A 22152-2025</t>
        </is>
      </c>
      <c r="B1413" s="1" t="n">
        <v>45785</v>
      </c>
      <c r="C1413" s="1" t="n">
        <v>45786</v>
      </c>
      <c r="D1413" t="inlineStr">
        <is>
          <t>VÄSTRA GÖTALANDS LÄN</t>
        </is>
      </c>
      <c r="E1413" t="inlineStr">
        <is>
          <t>ULRICEHAMN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2025-05-09T16:33:43Z</dcterms:created>
  <dcterms:modified xmlns:dcterms="http://purl.org/dc/terms/" xmlns:xsi="http://www.w3.org/2001/XMLSchema-instance" xsi:type="dcterms:W3CDTF">2025-05-09T16:33:44Z</dcterms:modified>
</cp:coreProperties>
</file>