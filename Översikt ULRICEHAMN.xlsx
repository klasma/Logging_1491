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46300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46300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46300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46300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46300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46300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46300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46300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46300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46300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46300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46300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46300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46300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46300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46300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46300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46300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46300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40397-2025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45895</v>
      </c>
      <c r="E25" s="1" t="n">
        <v>46300</v>
      </c>
      <c r="F25" t="inlineStr">
        <is>
          <t>VÄSTRA GÖTALANDS LÄN</t>
        </is>
      </c>
      <c r="G25" t="inlineStr">
        <is>
          <t>ULRICEHAMN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HYPERLINK("https://klasma.github.io/Logging_1491/artfynd/A 40397-2025 artfynd.xlsx", "A 40397-2025")</f>
        <v/>
      </c>
      <c r="X25">
        <f>HYPERLINK("https://klasma.github.io/Logging_1491/kartor/A 40397-2025 karta.png", "A 40397-2025")</f>
        <v/>
      </c>
      <c r="Y25">
        <f>HYPERLINK("https://klasma.github.io/Logging_1491/kartor_geotiff/A 40397-2025 georefererad karta.tif", "A 40397-2025")</f>
        <v/>
      </c>
      <c r="AA25">
        <f>HYPERLINK("https://klasma.github.io/Logging_1491/klagomål/A 40397-2025 FSC-klagomål.docx", "A 40397-2025")</f>
        <v/>
      </c>
      <c r="AB25">
        <f>HYPERLINK("https://klasma.github.io/Logging_1491/klagomålsmail/A 40397-2025 FSC-klagomål mail.docx", "A 40397-2025")</f>
        <v/>
      </c>
      <c r="AC25">
        <f>HYPERLINK("https://klasma.github.io/Logging_1491/tillsyn/A 40397-2025 tillsynsbegäran.docx", "A 40397-2025")</f>
        <v/>
      </c>
      <c r="AD25">
        <f>HYPERLINK("https://klasma.github.io/Logging_1491/tillsynsmail/A 40397-2025 tillsynsbegäran mail.docx", "A 40397-2025")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46300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46300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46300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6804-2026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46300</v>
      </c>
      <c r="F29" t="inlineStr">
        <is>
          <t>VÄSTRA GÖTALANDS LÄN</t>
        </is>
      </c>
      <c r="G29" t="inlineStr">
        <is>
          <t>ULRICEHAMN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HYPERLINK("https://klasma.github.io/Logging_1491/artfynd/A 6804-2026 artfynd.xlsx", "A 6804-2026")</f>
        <v/>
      </c>
      <c r="X29">
        <f>HYPERLINK("https://klasma.github.io/Logging_1491/kartor/A 6804-2026 karta.png", "A 6804-2026")</f>
        <v/>
      </c>
      <c r="Y29">
        <f>HYPERLINK("https://klasma.github.io/Logging_1491/kartor_geotiff/A 6804-2026 georefererad karta.tif", "A 6804-2026")</f>
        <v/>
      </c>
      <c r="AA29">
        <f>HYPERLINK("https://klasma.github.io/Logging_1491/klagomål/A 6804-2026 FSC-klagomål.docx", "A 6804-2026")</f>
        <v/>
      </c>
      <c r="AB29">
        <f>HYPERLINK("https://klasma.github.io/Logging_1491/klagomålsmail/A 6804-2026 FSC-klagomål mail.docx", "A 6804-2026")</f>
        <v/>
      </c>
      <c r="AC29">
        <f>HYPERLINK("https://klasma.github.io/Logging_1491/tillsyn/A 6804-2026 tillsynsbegäran.docx", "A 6804-2026")</f>
        <v/>
      </c>
      <c r="AD29">
        <f>HYPERLINK("https://klasma.github.io/Logging_1491/tillsynsmail/A 6804-2026 tillsynsbegäran mail.docx", "A 6804-2026")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46300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9906-2026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46300</v>
      </c>
      <c r="F31" t="inlineStr">
        <is>
          <t>VÄSTRA GÖTALANDS LÄN</t>
        </is>
      </c>
      <c r="G31" t="inlineStr">
        <is>
          <t>ULRICEHAMN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9906-2026 artfynd.xlsx", "A 9906-2026")</f>
        <v/>
      </c>
      <c r="X31">
        <f>HYPERLINK("https://klasma.github.io/Logging_1491/kartor/A 9906-2026 karta.png", "A 9906-2026")</f>
        <v/>
      </c>
      <c r="Y31">
        <f>HYPERLINK("https://klasma.github.io/Logging_1491/kartor_geotiff/A 9906-2026 georefererad karta.tif", "A 9906-2026")</f>
        <v/>
      </c>
      <c r="AA31">
        <f>HYPERLINK("https://klasma.github.io/Logging_1491/klagomål/A 9906-2026 FSC-klagomål.docx", "A 9906-2026")</f>
        <v/>
      </c>
      <c r="AB31">
        <f>HYPERLINK("https://klasma.github.io/Logging_1491/klagomålsmail/A 9906-2026 FSC-klagomål mail.docx", "A 9906-2026")</f>
        <v/>
      </c>
      <c r="AC31">
        <f>HYPERLINK("https://klasma.github.io/Logging_1491/tillsyn/A 9906-2026 tillsynsbegäran.docx", "A 9906-2026")</f>
        <v/>
      </c>
      <c r="AD31">
        <f>HYPERLINK("https://klasma.github.io/Logging_1491/tillsynsmail/A 9906-2026 tillsynsbegäran mail.docx", "A 9906-2026")</f>
        <v/>
      </c>
      <c r="AE31">
        <f>HYPERLINK("https://klasma.github.io/Logging_1491/fåglar/A 9906-2026 prioriterade fågelarter.docx", "A 9906-2026")</f>
        <v/>
      </c>
    </row>
    <row r="32" ht="15" customHeight="1">
      <c r="A32" t="inlineStr">
        <is>
          <t>A 61199-2023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46300</v>
      </c>
      <c r="F32" t="inlineStr">
        <is>
          <t>VÄSTRA GÖTALANDS LÄN</t>
        </is>
      </c>
      <c r="G32" t="inlineStr">
        <is>
          <t>ULRICEHAMN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8</v>
      </c>
      <c r="U32" t="n">
        <v>0</v>
      </c>
      <c r="V32" s="2" t="inlineStr">
        <is>
          <t>Ask</t>
        </is>
      </c>
      <c r="W32">
        <f>HYPERLINK("https://klasma.github.io/Logging_1491/artfynd/A 61199-2023 artfynd.xlsx", "A 61199-2023")</f>
        <v/>
      </c>
      <c r="X32">
        <f>HYPERLINK("https://klasma.github.io/Logging_1491/kartor/A 61199-2023 karta.png", "A 61199-2023")</f>
        <v/>
      </c>
      <c r="Y32">
        <f>HYPERLINK("https://klasma.github.io/Logging_1491/kartor_geotiff/A 61199-2023 georefererad karta.tif", "A 61199-2023")</f>
        <v/>
      </c>
      <c r="AA32">
        <f>HYPERLINK("https://klasma.github.io/Logging_1491/klagomål/A 61199-2023 FSC-klagomål.docx", "A 61199-2023")</f>
        <v/>
      </c>
      <c r="AB32">
        <f>HYPERLINK("https://klasma.github.io/Logging_1491/klagomålsmail/A 61199-2023 FSC-klagomål mail.docx", "A 61199-2023")</f>
        <v/>
      </c>
      <c r="AC32">
        <f>HYPERLINK("https://klasma.github.io/Logging_1491/tillsyn/A 61199-2023 tillsynsbegäran.docx", "A 61199-2023")</f>
        <v/>
      </c>
      <c r="AD32">
        <f>HYPERLINK("https://klasma.github.io/Logging_1491/tillsynsmail/A 61199-2023 tillsynsbegäran mail.docx", "A 61199-2023")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46300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46300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46300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46300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73932-2021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44553</v>
      </c>
      <c r="E37" s="1" t="n">
        <v>46300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Backsippa</t>
        </is>
      </c>
      <c r="W37">
        <f>HYPERLINK("https://klasma.github.io/Logging_1491/artfynd/A 73932-2021 artfynd.xlsx", "A 73932-2021")</f>
        <v/>
      </c>
      <c r="X37">
        <f>HYPERLINK("https://klasma.github.io/Logging_1491/kartor/A 73932-2021 karta.png", "A 73932-2021")</f>
        <v/>
      </c>
      <c r="Y37">
        <f>HYPERLINK("https://klasma.github.io/Logging_1491/kartor_geotiff/A 73932-2021 georefererad karta.tif", "A 73932-2021")</f>
        <v/>
      </c>
      <c r="AA37">
        <f>HYPERLINK("https://klasma.github.io/Logging_1491/klagomål/A 73932-2021 FSC-klagomål.docx", "A 73932-2021")</f>
        <v/>
      </c>
      <c r="AB37">
        <f>HYPERLINK("https://klasma.github.io/Logging_1491/klagomålsmail/A 73932-2021 FSC-klagomål mail.docx", "A 73932-2021")</f>
        <v/>
      </c>
      <c r="AC37">
        <f>HYPERLINK("https://klasma.github.io/Logging_1491/tillsyn/A 73932-2021 tillsynsbegäran.docx", "A 73932-2021")</f>
        <v/>
      </c>
      <c r="AD37">
        <f>HYPERLINK("https://klasma.github.io/Logging_1491/tillsynsmail/A 73932-2021 tillsynsbegäran mail.docx", "A 73932-2021")</f>
        <v/>
      </c>
    </row>
    <row r="38" ht="15" customHeight="1">
      <c r="A38" t="inlineStr">
        <is>
          <t>A 61536-2025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46001</v>
      </c>
      <c r="E38" s="1" t="n">
        <v>46300</v>
      </c>
      <c r="F38" t="inlineStr">
        <is>
          <t>VÄSTRA GÖTALANDS LÄN</t>
        </is>
      </c>
      <c r="G38" t="inlineStr">
        <is>
          <t>ULRICEHAMN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61536-2025 artfynd.xlsx", "A 61536-2025")</f>
        <v/>
      </c>
      <c r="X38">
        <f>HYPERLINK("https://klasma.github.io/Logging_1491/kartor/A 61536-2025 karta.png", "A 61536-2025")</f>
        <v/>
      </c>
      <c r="Y38">
        <f>HYPERLINK("https://klasma.github.io/Logging_1491/kartor_geotiff/A 61536-2025 georefererad karta.tif", "A 61536-2025")</f>
        <v/>
      </c>
      <c r="AA38">
        <f>HYPERLINK("https://klasma.github.io/Logging_1491/klagomål/A 61536-2025 FSC-klagomål.docx", "A 61536-2025")</f>
        <v/>
      </c>
      <c r="AB38">
        <f>HYPERLINK("https://klasma.github.io/Logging_1491/klagomålsmail/A 61536-2025 FSC-klagomål mail.docx", "A 61536-2025")</f>
        <v/>
      </c>
      <c r="AC38">
        <f>HYPERLINK("https://klasma.github.io/Logging_1491/tillsyn/A 61536-2025 tillsynsbegäran.docx", "A 61536-2025")</f>
        <v/>
      </c>
      <c r="AD38">
        <f>HYPERLINK("https://klasma.github.io/Logging_1491/tillsynsmail/A 61536-2025 tillsynsbegäran mail.docx", "A 61536-2025")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46300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37238-2025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45876</v>
      </c>
      <c r="E40" s="1" t="n">
        <v>46300</v>
      </c>
      <c r="F40" t="inlineStr">
        <is>
          <t>VÄSTRA GÖTALANDS LÄN</t>
        </is>
      </c>
      <c r="G40" t="inlineStr">
        <is>
          <t>ULRICEHAMN</t>
        </is>
      </c>
      <c r="I40" t="n">
        <v>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HYPERLINK("https://klasma.github.io/Logging_1491/artfynd/A 37238-2025 artfynd.xlsx", "A 37238-2025")</f>
        <v/>
      </c>
      <c r="X40">
        <f>HYPERLINK("https://klasma.github.io/Logging_1491/kartor/A 37238-2025 karta.png", "A 37238-2025")</f>
        <v/>
      </c>
      <c r="Y40">
        <f>HYPERLINK("https://klasma.github.io/Logging_1491/kartor_geotiff/A 37238-2025 georefererad karta.tif", "A 37238-2025")</f>
        <v/>
      </c>
      <c r="AA40">
        <f>HYPERLINK("https://klasma.github.io/Logging_1491/klagomål/A 37238-2025 FSC-klagomål.docx", "A 37238-2025")</f>
        <v/>
      </c>
      <c r="AB40">
        <f>HYPERLINK("https://klasma.github.io/Logging_1491/klagomålsmail/A 37238-2025 FSC-klagomål mail.docx", "A 37238-2025")</f>
        <v/>
      </c>
      <c r="AC40">
        <f>HYPERLINK("https://klasma.github.io/Logging_1491/tillsyn/A 37238-2025 tillsynsbegäran.docx", "A 37238-2025")</f>
        <v/>
      </c>
      <c r="AD40">
        <f>HYPERLINK("https://klasma.github.io/Logging_1491/tillsynsmail/A 37238-2025 tillsynsbegäran mail.docx", "A 37238-2025")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46300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31199-2026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46217</v>
      </c>
      <c r="E42" s="1" t="n">
        <v>46300</v>
      </c>
      <c r="F42" t="inlineStr">
        <is>
          <t>VÄSTRA GÖTALANDS LÄN</t>
        </is>
      </c>
      <c r="G42" t="inlineStr">
        <is>
          <t>ULRICEHAMN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HYPERLINK("https://klasma.github.io/Logging_1491/artfynd/A 31199-2026 artfynd.xlsx", "A 31199-2026")</f>
        <v/>
      </c>
      <c r="X42">
        <f>HYPERLINK("https://klasma.github.io/Logging_1491/kartor/A 31199-2026 karta.png", "A 31199-2026")</f>
        <v/>
      </c>
      <c r="Y42">
        <f>HYPERLINK("https://klasma.github.io/Logging_1491/kartor_geotiff/A 31199-2026 georefererad karta.tif", "A 31199-2026")</f>
        <v/>
      </c>
      <c r="AA42">
        <f>HYPERLINK("https://klasma.github.io/Logging_1491/klagomål/A 31199-2026 FSC-klagomål.docx", "A 31199-2026")</f>
        <v/>
      </c>
      <c r="AB42">
        <f>HYPERLINK("https://klasma.github.io/Logging_1491/klagomålsmail/A 31199-2026 FSC-klagomål mail.docx", "A 31199-2026")</f>
        <v/>
      </c>
      <c r="AC42">
        <f>HYPERLINK("https://klasma.github.io/Logging_1491/tillsyn/A 31199-2026 tillsynsbegäran.docx", "A 31199-2026")</f>
        <v/>
      </c>
      <c r="AD42">
        <f>HYPERLINK("https://klasma.github.io/Logging_1491/tillsynsmail/A 31199-2026 tillsynsbegäran mail.docx", "A 31199-2026")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46300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46300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46300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40761-2026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46294</v>
      </c>
      <c r="E46" s="1" t="n">
        <v>46300</v>
      </c>
      <c r="F46" t="inlineStr">
        <is>
          <t>VÄSTRA GÖTALANDS LÄN</t>
        </is>
      </c>
      <c r="G46" t="inlineStr">
        <is>
          <t>ULRICEHAMN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HYPERLINK("https://klasma.github.io/Logging_1491/artfynd/A 40761-2026 artfynd.xlsx", "A 40761-2026")</f>
        <v/>
      </c>
      <c r="X46">
        <f>HYPERLINK("https://klasma.github.io/Logging_1491/kartor/A 40761-2026 karta.png", "A 40761-2026")</f>
        <v/>
      </c>
      <c r="Y46">
        <f>HYPERLINK("https://klasma.github.io/Logging_1491/kartor_geotiff/A 40761-2026 georefererad karta.tif", "A 40761-2026")</f>
        <v/>
      </c>
      <c r="AA46">
        <f>HYPERLINK("https://klasma.github.io/Logging_1491/klagomål/A 40761-2026 FSC-klagomål.docx", "A 40761-2026")</f>
        <v/>
      </c>
      <c r="AB46">
        <f>HYPERLINK("https://klasma.github.io/Logging_1491/klagomålsmail/A 40761-2026 FSC-klagomål mail.docx", "A 40761-2026")</f>
        <v/>
      </c>
      <c r="AC46">
        <f>HYPERLINK("https://klasma.github.io/Logging_1491/tillsyn/A 40761-2026 tillsynsbegäran.docx", "A 40761-2026")</f>
        <v/>
      </c>
      <c r="AD46">
        <f>HYPERLINK("https://klasma.github.io/Logging_1491/tillsynsmail/A 40761-2026 tillsynsbegäran mail.docx", "A 40761-2026")</f>
        <v/>
      </c>
      <c r="AE46">
        <f>HYPERLINK("https://klasma.github.io/Logging_1491/fåglar/A 40761-2026 prioriterade fågelarter.docx", "A 40761-2026")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46300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46300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46300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46300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46300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46300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46300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46300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46300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46300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46300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46300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46300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46300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46300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46300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46300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46300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46300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46300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46300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46300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46300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46300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46300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46300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46300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46300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46300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46300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46300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46300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46300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46300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46300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46300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46300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46300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46300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46300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46300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46300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46300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46300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46300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46300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46300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46300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46300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46300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46300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46300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46300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46300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46300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46300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46300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46300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46300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46300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46300</v>
      </c>
      <c r="F107" t="inlineStr">
        <is>
          <t>VÄSTRA GÖTALANDS LÄN</t>
        </is>
      </c>
      <c r="G107" t="inlineStr">
        <is>
          <t>ULRICEHAMN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46300</v>
      </c>
      <c r="F108" t="inlineStr">
        <is>
          <t>VÄSTRA GÖTALANDS LÄN</t>
        </is>
      </c>
      <c r="G108" t="inlineStr">
        <is>
          <t>ULRICEHAMN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46300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46300</v>
      </c>
      <c r="F110" t="inlineStr">
        <is>
          <t>VÄSTRA GÖTALANDS LÄN</t>
        </is>
      </c>
      <c r="G110" t="inlineStr">
        <is>
          <t>ULRICEHAMN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46300</v>
      </c>
      <c r="F111" t="inlineStr">
        <is>
          <t>VÄSTRA GÖTALANDS LÄN</t>
        </is>
      </c>
      <c r="G111" t="inlineStr">
        <is>
          <t>ULRICEHAMN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44772</v>
      </c>
      <c r="E112" s="1" t="n">
        <v>46300</v>
      </c>
      <c r="F112" t="inlineStr">
        <is>
          <t>VÄSTRA GÖTALANDS LÄN</t>
        </is>
      </c>
      <c r="G112" t="inlineStr">
        <is>
          <t>ULRICEHAMN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46300</v>
      </c>
      <c r="F113" t="inlineStr">
        <is>
          <t>VÄSTRA GÖTALANDS LÄN</t>
        </is>
      </c>
      <c r="G113" t="inlineStr">
        <is>
          <t>ULRICEHAMN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46300</v>
      </c>
      <c r="F114" t="inlineStr">
        <is>
          <t>VÄSTRA GÖTALANDS LÄN</t>
        </is>
      </c>
      <c r="G114" t="inlineStr">
        <is>
          <t>ULRICEHAMN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46300</v>
      </c>
      <c r="F115" t="inlineStr">
        <is>
          <t>VÄSTRA GÖTALANDS LÄN</t>
        </is>
      </c>
      <c r="G115" t="inlineStr">
        <is>
          <t>ULRICEHAMN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46300</v>
      </c>
      <c r="F116" t="inlineStr">
        <is>
          <t>VÄSTRA GÖTALANDS LÄN</t>
        </is>
      </c>
      <c r="G116" t="inlineStr">
        <is>
          <t>ULRICEHAMN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46300</v>
      </c>
      <c r="F117" t="inlineStr">
        <is>
          <t>VÄSTRA GÖTALANDS LÄN</t>
        </is>
      </c>
      <c r="G117" t="inlineStr">
        <is>
          <t>ULRICEHAMN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46300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46300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46300</v>
      </c>
      <c r="F120" t="inlineStr">
        <is>
          <t>VÄSTRA GÖTALANDS LÄN</t>
        </is>
      </c>
      <c r="G120" t="inlineStr">
        <is>
          <t>ULRICEHAMN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45585</v>
      </c>
      <c r="E121" s="1" t="n">
        <v>46300</v>
      </c>
      <c r="F121" t="inlineStr">
        <is>
          <t>VÄSTRA GÖTALANDS LÄN</t>
        </is>
      </c>
      <c r="G121" t="inlineStr">
        <is>
          <t>ULRICEHAMN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46300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46300</v>
      </c>
      <c r="F123" t="inlineStr">
        <is>
          <t>VÄSTRA GÖTALANDS LÄN</t>
        </is>
      </c>
      <c r="G123" t="inlineStr">
        <is>
          <t>ULRICEHAMN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46300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46300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46300</v>
      </c>
      <c r="F126" t="inlineStr">
        <is>
          <t>VÄSTRA GÖTALANDS LÄN</t>
        </is>
      </c>
      <c r="G126" t="inlineStr">
        <is>
          <t>ULRICEHAMN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46300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44724</v>
      </c>
      <c r="E128" s="1" t="n">
        <v>46300</v>
      </c>
      <c r="F128" t="inlineStr">
        <is>
          <t>VÄSTRA GÖTALANDS LÄN</t>
        </is>
      </c>
      <c r="G128" t="inlineStr">
        <is>
          <t>ULRICEHAMN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46300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46300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46300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46300</v>
      </c>
      <c r="F132" t="inlineStr">
        <is>
          <t>VÄSTRA GÖTALANDS LÄN</t>
        </is>
      </c>
      <c r="G132" t="inlineStr">
        <is>
          <t>ULRICEHAMN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46300</v>
      </c>
      <c r="F133" t="inlineStr">
        <is>
          <t>VÄSTRA GÖTALANDS LÄN</t>
        </is>
      </c>
      <c r="G133" t="inlineStr">
        <is>
          <t>ULRICEHAMN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46300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46300</v>
      </c>
      <c r="F135" t="inlineStr">
        <is>
          <t>VÄSTRA GÖTALANDS LÄN</t>
        </is>
      </c>
      <c r="G135" t="inlineStr">
        <is>
          <t>ULRICEHAMN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46300</v>
      </c>
      <c r="F136" t="inlineStr">
        <is>
          <t>VÄSTRA GÖTALANDS LÄN</t>
        </is>
      </c>
      <c r="G136" t="inlineStr">
        <is>
          <t>ULRICEHAMN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46300</v>
      </c>
      <c r="F137" t="inlineStr">
        <is>
          <t>VÄSTRA GÖTALANDS LÄN</t>
        </is>
      </c>
      <c r="G137" t="inlineStr">
        <is>
          <t>ULRICEHAMN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46300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46300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45709</v>
      </c>
      <c r="E140" s="1" t="n">
        <v>46300</v>
      </c>
      <c r="F140" t="inlineStr">
        <is>
          <t>VÄSTRA GÖTALANDS LÄN</t>
        </is>
      </c>
      <c r="G140" t="inlineStr">
        <is>
          <t>ULRICEHAMN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46300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46300</v>
      </c>
      <c r="F142" t="inlineStr">
        <is>
          <t>VÄSTRA GÖTALANDS LÄN</t>
        </is>
      </c>
      <c r="G142" t="inlineStr">
        <is>
          <t>ULRICEHAMN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46300</v>
      </c>
      <c r="F143" t="inlineStr">
        <is>
          <t>VÄSTRA GÖTALANDS LÄN</t>
        </is>
      </c>
      <c r="G143" t="inlineStr">
        <is>
          <t>ULRICEHAMN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44894</v>
      </c>
      <c r="E144" s="1" t="n">
        <v>46300</v>
      </c>
      <c r="F144" t="inlineStr">
        <is>
          <t>VÄSTRA GÖTALANDS LÄN</t>
        </is>
      </c>
      <c r="G144" t="inlineStr">
        <is>
          <t>ULRICEHAMN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46300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46300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45157</v>
      </c>
      <c r="E147" s="1" t="n">
        <v>46300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46300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46300</v>
      </c>
      <c r="F149" t="inlineStr">
        <is>
          <t>VÄSTRA GÖTALANDS LÄN</t>
        </is>
      </c>
      <c r="G149" t="inlineStr">
        <is>
          <t>ULRICEHAMN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23267-2025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45791</v>
      </c>
      <c r="E150" s="1" t="n">
        <v>46300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46300</v>
      </c>
      <c r="F151" t="inlineStr">
        <is>
          <t>VÄSTRA GÖTALANDS LÄN</t>
        </is>
      </c>
      <c r="G151" t="inlineStr">
        <is>
          <t>ULRICEHAMN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46300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46300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45606</v>
      </c>
      <c r="E154" s="1" t="n">
        <v>46300</v>
      </c>
      <c r="F154" t="inlineStr">
        <is>
          <t>VÄSTRA GÖTALANDS LÄN</t>
        </is>
      </c>
      <c r="G154" t="inlineStr">
        <is>
          <t>ULRICEHAMN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46300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37791-2023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45159</v>
      </c>
      <c r="E156" s="1" t="n">
        <v>46300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46300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46300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46300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46300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45691</v>
      </c>
      <c r="E161" s="1" t="n">
        <v>46300</v>
      </c>
      <c r="F161" t="inlineStr">
        <is>
          <t>VÄSTRA GÖTALANDS LÄN</t>
        </is>
      </c>
      <c r="G161" t="inlineStr">
        <is>
          <t>ULRICEHAMN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46300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45698</v>
      </c>
      <c r="E163" s="1" t="n">
        <v>46300</v>
      </c>
      <c r="F163" t="inlineStr">
        <is>
          <t>VÄSTRA GÖTALANDS LÄN</t>
        </is>
      </c>
      <c r="G163" t="inlineStr">
        <is>
          <t>ULRICEHAMN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45715</v>
      </c>
      <c r="E164" s="1" t="n">
        <v>46300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46300</v>
      </c>
      <c r="F165" t="inlineStr">
        <is>
          <t>VÄSTRA GÖTALANDS LÄN</t>
        </is>
      </c>
      <c r="G165" t="inlineStr">
        <is>
          <t>ULRICEHAMN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46300</v>
      </c>
      <c r="F166" t="inlineStr">
        <is>
          <t>VÄSTRA GÖTALANDS LÄN</t>
        </is>
      </c>
      <c r="G166" t="inlineStr">
        <is>
          <t>ULRICEHAMN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46300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45688</v>
      </c>
      <c r="E168" s="1" t="n">
        <v>46300</v>
      </c>
      <c r="F168" t="inlineStr">
        <is>
          <t>VÄSTRA GÖTALANDS LÄN</t>
        </is>
      </c>
      <c r="G168" t="inlineStr">
        <is>
          <t>ULRICEHAMN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46300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46300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Kyrkan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46300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46300</v>
      </c>
      <c r="F172" t="inlineStr">
        <is>
          <t>VÄSTRA GÖTALANDS LÄN</t>
        </is>
      </c>
      <c r="G172" t="inlineStr">
        <is>
          <t>ULRICEHAMN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46300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46300</v>
      </c>
      <c r="F174" t="inlineStr">
        <is>
          <t>VÄSTRA GÖTALANDS LÄN</t>
        </is>
      </c>
      <c r="G174" t="inlineStr">
        <is>
          <t>ULRICEHAMN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46300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46300</v>
      </c>
      <c r="F176" t="inlineStr">
        <is>
          <t>VÄSTRA GÖTALANDS LÄN</t>
        </is>
      </c>
      <c r="G176" t="inlineStr">
        <is>
          <t>ULRICEHAMN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45795</v>
      </c>
      <c r="E177" s="1" t="n">
        <v>46300</v>
      </c>
      <c r="F177" t="inlineStr">
        <is>
          <t>VÄSTRA GÖTALANDS LÄN</t>
        </is>
      </c>
      <c r="G177" t="inlineStr">
        <is>
          <t>ULRICEHAMN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46300</v>
      </c>
      <c r="F178" t="inlineStr">
        <is>
          <t>VÄSTRA GÖTALANDS LÄN</t>
        </is>
      </c>
      <c r="G178" t="inlineStr">
        <is>
          <t>ULRICEHAMN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46300</v>
      </c>
      <c r="F179" t="inlineStr">
        <is>
          <t>VÄSTRA GÖTALANDS LÄN</t>
        </is>
      </c>
      <c r="G179" t="inlineStr">
        <is>
          <t>ULRICEHAMN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44916</v>
      </c>
      <c r="E180" s="1" t="n">
        <v>46300</v>
      </c>
      <c r="F180" t="inlineStr">
        <is>
          <t>VÄSTRA GÖTALANDS LÄN</t>
        </is>
      </c>
      <c r="G180" t="inlineStr">
        <is>
          <t>ULRICEHAMN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46300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46300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45227</v>
      </c>
      <c r="E183" s="1" t="n">
        <v>46300</v>
      </c>
      <c r="F183" t="inlineStr">
        <is>
          <t>VÄSTRA GÖTALANDS LÄN</t>
        </is>
      </c>
      <c r="G183" t="inlineStr">
        <is>
          <t>ULRICEHAMN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46300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46300</v>
      </c>
      <c r="F185" t="inlineStr">
        <is>
          <t>VÄSTRA GÖTALANDS LÄN</t>
        </is>
      </c>
      <c r="G185" t="inlineStr">
        <is>
          <t>ULRICEHAMN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46300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46300</v>
      </c>
      <c r="F187" t="inlineStr">
        <is>
          <t>VÄSTRA GÖTALANDS LÄN</t>
        </is>
      </c>
      <c r="G187" t="inlineStr">
        <is>
          <t>ULRICEHAMN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46300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46300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46300</v>
      </c>
      <c r="F190" t="inlineStr">
        <is>
          <t>VÄSTRA GÖTALANDS LÄN</t>
        </is>
      </c>
      <c r="G190" t="inlineStr">
        <is>
          <t>ULRICEHAMN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46300</v>
      </c>
      <c r="F191" t="inlineStr">
        <is>
          <t>VÄSTRA GÖTALANDS LÄN</t>
        </is>
      </c>
      <c r="G191" t="inlineStr">
        <is>
          <t>ULRICEHAMN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46300</v>
      </c>
      <c r="F192" t="inlineStr">
        <is>
          <t>VÄSTRA GÖTALANDS LÄN</t>
        </is>
      </c>
      <c r="G192" t="inlineStr">
        <is>
          <t>ULRICEHAMN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46300</v>
      </c>
      <c r="F193" t="inlineStr">
        <is>
          <t>VÄSTRA GÖTALANDS LÄN</t>
        </is>
      </c>
      <c r="G193" t="inlineStr">
        <is>
          <t>ULRICEHAMN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46300</v>
      </c>
      <c r="F194" t="inlineStr">
        <is>
          <t>VÄSTRA GÖTALANDS LÄN</t>
        </is>
      </c>
      <c r="G194" t="inlineStr">
        <is>
          <t>ULRICEHAMN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46300</v>
      </c>
      <c r="F195" t="inlineStr">
        <is>
          <t>VÄSTRA GÖTALANDS LÄN</t>
        </is>
      </c>
      <c r="G195" t="inlineStr">
        <is>
          <t>ULRICEHAMN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46300</v>
      </c>
      <c r="F196" t="inlineStr">
        <is>
          <t>VÄSTRA GÖTALANDS LÄN</t>
        </is>
      </c>
      <c r="G196" t="inlineStr">
        <is>
          <t>ULRICEHAMN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45362</v>
      </c>
      <c r="E197" s="1" t="n">
        <v>46300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45162</v>
      </c>
      <c r="E198" s="1" t="n">
        <v>46300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46300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45140</v>
      </c>
      <c r="E200" s="1" t="n">
        <v>46300</v>
      </c>
      <c r="F200" t="inlineStr">
        <is>
          <t>VÄSTRA GÖTALANDS LÄN</t>
        </is>
      </c>
      <c r="G200" t="inlineStr">
        <is>
          <t>ULRICEHAMN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46300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46300</v>
      </c>
      <c r="F202" t="inlineStr">
        <is>
          <t>VÄSTRA GÖTALANDS LÄN</t>
        </is>
      </c>
      <c r="G202" t="inlineStr">
        <is>
          <t>ULRICEHAMN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46300</v>
      </c>
      <c r="F203" t="inlineStr">
        <is>
          <t>VÄSTRA GÖTALANDS LÄN</t>
        </is>
      </c>
      <c r="G203" t="inlineStr">
        <is>
          <t>ULRICEHAMN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46300</v>
      </c>
      <c r="F204" t="inlineStr">
        <is>
          <t>VÄSTRA GÖTALANDS LÄN</t>
        </is>
      </c>
      <c r="G204" t="inlineStr">
        <is>
          <t>ULRICEHAMN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46300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46300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46300</v>
      </c>
      <c r="F207" t="inlineStr">
        <is>
          <t>VÄSTRA GÖTALANDS LÄN</t>
        </is>
      </c>
      <c r="G207" t="inlineStr">
        <is>
          <t>ULRICEHAMN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46300</v>
      </c>
      <c r="F208" t="inlineStr">
        <is>
          <t>VÄSTRA GÖTALANDS LÄN</t>
        </is>
      </c>
      <c r="G208" t="inlineStr">
        <is>
          <t>ULRICEHAMN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45797</v>
      </c>
      <c r="E209" s="1" t="n">
        <v>46300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45518</v>
      </c>
      <c r="E210" s="1" t="n">
        <v>46300</v>
      </c>
      <c r="F210" t="inlineStr">
        <is>
          <t>VÄSTRA GÖTALANDS LÄN</t>
        </is>
      </c>
      <c r="G210" t="inlineStr">
        <is>
          <t>ULRICEHAMN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44566</v>
      </c>
      <c r="E211" s="1" t="n">
        <v>46300</v>
      </c>
      <c r="F211" t="inlineStr">
        <is>
          <t>VÄSTRA GÖTALANDS LÄN</t>
        </is>
      </c>
      <c r="G211" t="inlineStr">
        <is>
          <t>ULRICEHAMN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46300</v>
      </c>
      <c r="F212" t="inlineStr">
        <is>
          <t>VÄSTRA GÖTALANDS LÄN</t>
        </is>
      </c>
      <c r="G212" t="inlineStr">
        <is>
          <t>ULRICEHAMN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44824</v>
      </c>
      <c r="E213" s="1" t="n">
        <v>46300</v>
      </c>
      <c r="F213" t="inlineStr">
        <is>
          <t>VÄSTRA GÖTALANDS LÄN</t>
        </is>
      </c>
      <c r="G213" t="inlineStr">
        <is>
          <t>ULRICEHAMN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46300</v>
      </c>
      <c r="F214" t="inlineStr">
        <is>
          <t>VÄSTRA GÖTALANDS LÄN</t>
        </is>
      </c>
      <c r="G214" t="inlineStr">
        <is>
          <t>ULRICEHAMN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24901-2025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45799</v>
      </c>
      <c r="E215" s="1" t="n">
        <v>46300</v>
      </c>
      <c r="F215" t="inlineStr">
        <is>
          <t>VÄSTRA GÖTALANDS LÄN</t>
        </is>
      </c>
      <c r="G215" t="inlineStr">
        <is>
          <t>ULRICEHAMN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45399</v>
      </c>
      <c r="E216" s="1" t="n">
        <v>46300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46300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46300</v>
      </c>
      <c r="F218" t="inlineStr">
        <is>
          <t>VÄSTRA GÖTALANDS LÄN</t>
        </is>
      </c>
      <c r="G218" t="inlineStr">
        <is>
          <t>ULRICEHAMN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46300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46300</v>
      </c>
      <c r="F220" t="inlineStr">
        <is>
          <t>VÄSTRA GÖTALANDS LÄN</t>
        </is>
      </c>
      <c r="G220" t="inlineStr">
        <is>
          <t>ULRICEHAMN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46300</v>
      </c>
      <c r="F221" t="inlineStr">
        <is>
          <t>VÄSTRA GÖTALANDS LÄN</t>
        </is>
      </c>
      <c r="G221" t="inlineStr">
        <is>
          <t>ULRICEHAMN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46300</v>
      </c>
      <c r="F222" t="inlineStr">
        <is>
          <t>VÄSTRA GÖTALANDS LÄN</t>
        </is>
      </c>
      <c r="G222" t="inlineStr">
        <is>
          <t>ULRICEHAMN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46300</v>
      </c>
      <c r="F223" t="inlineStr">
        <is>
          <t>VÄSTRA GÖTALANDS LÄN</t>
        </is>
      </c>
      <c r="G223" t="inlineStr">
        <is>
          <t>ULRICEHAMN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65872-2021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46300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45806</v>
      </c>
      <c r="E225" s="1" t="n">
        <v>46300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45806</v>
      </c>
      <c r="E226" s="1" t="n">
        <v>46300</v>
      </c>
      <c r="F226" t="inlineStr">
        <is>
          <t>VÄSTRA GÖTALANDS LÄN</t>
        </is>
      </c>
      <c r="G226" t="inlineStr">
        <is>
          <t>ULRICEHAMN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46300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46300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46300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45806</v>
      </c>
      <c r="E230" s="1" t="n">
        <v>46300</v>
      </c>
      <c r="F230" t="inlineStr">
        <is>
          <t>VÄSTRA GÖTALANDS LÄN</t>
        </is>
      </c>
      <c r="G230" t="inlineStr">
        <is>
          <t>ULRICEHAMN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45806</v>
      </c>
      <c r="E231" s="1" t="n">
        <v>46300</v>
      </c>
      <c r="F231" t="inlineStr">
        <is>
          <t>VÄSTRA GÖTALANDS LÄN</t>
        </is>
      </c>
      <c r="G231" t="inlineStr">
        <is>
          <t>ULRICEHAMN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45806</v>
      </c>
      <c r="E232" s="1" t="n">
        <v>46300</v>
      </c>
      <c r="F232" t="inlineStr">
        <is>
          <t>VÄSTRA GÖTALANDS LÄN</t>
        </is>
      </c>
      <c r="G232" t="inlineStr">
        <is>
          <t>ULRICEHAMN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46300</v>
      </c>
      <c r="F233" t="inlineStr">
        <is>
          <t>VÄSTRA GÖTALANDS LÄN</t>
        </is>
      </c>
      <c r="G233" t="inlineStr">
        <is>
          <t>ULRICEHAMN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46300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46300</v>
      </c>
      <c r="F235" t="inlineStr">
        <is>
          <t>VÄSTRA GÖTALANDS LÄN</t>
        </is>
      </c>
      <c r="G235" t="inlineStr">
        <is>
          <t>ULRICEHAMN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46300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46300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46300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45683</v>
      </c>
      <c r="E239" s="1" t="n">
        <v>46300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46300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46300</v>
      </c>
      <c r="F241" t="inlineStr">
        <is>
          <t>VÄSTRA GÖTALANDS LÄN</t>
        </is>
      </c>
      <c r="G241" t="inlineStr">
        <is>
          <t>ULRICEHAMN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46300</v>
      </c>
      <c r="F242" t="inlineStr">
        <is>
          <t>VÄSTRA GÖTALANDS LÄN</t>
        </is>
      </c>
      <c r="G242" t="inlineStr">
        <is>
          <t>ULRICEHAMN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46300</v>
      </c>
      <c r="F243" t="inlineStr">
        <is>
          <t>VÄSTRA GÖTALANDS LÄN</t>
        </is>
      </c>
      <c r="G243" t="inlineStr">
        <is>
          <t>ULRICEHAMN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46300</v>
      </c>
      <c r="F244" t="inlineStr">
        <is>
          <t>VÄSTRA GÖTALANDS LÄN</t>
        </is>
      </c>
      <c r="G244" t="inlineStr">
        <is>
          <t>ULRICEHAMN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46300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46300</v>
      </c>
      <c r="F246" t="inlineStr">
        <is>
          <t>VÄSTRA GÖTALANDS LÄN</t>
        </is>
      </c>
      <c r="G246" t="inlineStr">
        <is>
          <t>ULRICEHAMN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57561-2022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46300</v>
      </c>
      <c r="F247" t="inlineStr">
        <is>
          <t>VÄSTRA GÖTALANDS LÄN</t>
        </is>
      </c>
      <c r="G247" t="inlineStr">
        <is>
          <t>ULRICEHAMN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45934</v>
      </c>
      <c r="E248" s="1" t="n">
        <v>46300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46300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45934</v>
      </c>
      <c r="E250" s="1" t="n">
        <v>46300</v>
      </c>
      <c r="F250" t="inlineStr">
        <is>
          <t>VÄSTRA GÖTALANDS LÄN</t>
        </is>
      </c>
      <c r="G250" t="inlineStr">
        <is>
          <t>ULRICEHAMN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45934</v>
      </c>
      <c r="E251" s="1" t="n">
        <v>46300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45934</v>
      </c>
      <c r="E252" s="1" t="n">
        <v>46300</v>
      </c>
      <c r="F252" t="inlineStr">
        <is>
          <t>VÄSTRA GÖTALANDS LÄN</t>
        </is>
      </c>
      <c r="G252" t="inlineStr">
        <is>
          <t>ULRICEHAMN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46300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46300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46300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46300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46300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46300</v>
      </c>
      <c r="F258" t="inlineStr">
        <is>
          <t>VÄSTRA GÖTALANDS LÄN</t>
        </is>
      </c>
      <c r="G258" t="inlineStr">
        <is>
          <t>ULRICEHAMN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46300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46300</v>
      </c>
      <c r="F260" t="inlineStr">
        <is>
          <t>VÄSTRA GÖTALANDS LÄN</t>
        </is>
      </c>
      <c r="G260" t="inlineStr">
        <is>
          <t>ULRICEHAMN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46300</v>
      </c>
      <c r="F261" t="inlineStr">
        <is>
          <t>VÄSTRA GÖTALANDS LÄN</t>
        </is>
      </c>
      <c r="G261" t="inlineStr">
        <is>
          <t>ULRICEHAMN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46300</v>
      </c>
      <c r="F262" t="inlineStr">
        <is>
          <t>VÄSTRA GÖTALANDS LÄN</t>
        </is>
      </c>
      <c r="G262" t="inlineStr">
        <is>
          <t>ULRICEHAMN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46300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46300</v>
      </c>
      <c r="F264" t="inlineStr">
        <is>
          <t>VÄSTRA GÖTALANDS LÄN</t>
        </is>
      </c>
      <c r="G264" t="inlineStr">
        <is>
          <t>ULRICEHAMN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45157</v>
      </c>
      <c r="E265" s="1" t="n">
        <v>46300</v>
      </c>
      <c r="F265" t="inlineStr">
        <is>
          <t>VÄSTRA GÖTALANDS LÄN</t>
        </is>
      </c>
      <c r="G265" t="inlineStr">
        <is>
          <t>ULRICEHAMN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45043</v>
      </c>
      <c r="E266" s="1" t="n">
        <v>46300</v>
      </c>
      <c r="F266" t="inlineStr">
        <is>
          <t>VÄSTRA GÖTALANDS LÄN</t>
        </is>
      </c>
      <c r="G266" t="inlineStr">
        <is>
          <t>ULRICEHAMN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46300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45473</v>
      </c>
      <c r="E268" s="1" t="n">
        <v>46300</v>
      </c>
      <c r="F268" t="inlineStr">
        <is>
          <t>VÄSTRA GÖTALANDS LÄN</t>
        </is>
      </c>
      <c r="G268" t="inlineStr">
        <is>
          <t>ULRICEHAMN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44947</v>
      </c>
      <c r="E269" s="1" t="n">
        <v>46300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46077</v>
      </c>
      <c r="E270" s="1" t="n">
        <v>46300</v>
      </c>
      <c r="F270" t="inlineStr">
        <is>
          <t>VÄSTRA GÖTALANDS LÄN</t>
        </is>
      </c>
      <c r="G270" t="inlineStr">
        <is>
          <t>ULRICEHAMN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44636</v>
      </c>
      <c r="E271" s="1" t="n">
        <v>46300</v>
      </c>
      <c r="F271" t="inlineStr">
        <is>
          <t>VÄSTRA GÖTALANDS LÄN</t>
        </is>
      </c>
      <c r="G271" t="inlineStr">
        <is>
          <t>ULRICEHAMN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44873</v>
      </c>
      <c r="E272" s="1" t="n">
        <v>46300</v>
      </c>
      <c r="F272" t="inlineStr">
        <is>
          <t>VÄSTRA GÖTALANDS LÄN</t>
        </is>
      </c>
      <c r="G272" t="inlineStr">
        <is>
          <t>ULRICEHAMN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46300</v>
      </c>
      <c r="F273" t="inlineStr">
        <is>
          <t>VÄSTRA GÖTALANDS LÄN</t>
        </is>
      </c>
      <c r="G273" t="inlineStr">
        <is>
          <t>ULRICEHAMN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46300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46300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45606</v>
      </c>
      <c r="E276" s="1" t="n">
        <v>46300</v>
      </c>
      <c r="F276" t="inlineStr">
        <is>
          <t>VÄSTRA GÖTALANDS LÄN</t>
        </is>
      </c>
      <c r="G276" t="inlineStr">
        <is>
          <t>ULRICEHAMN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46300</v>
      </c>
      <c r="F277" t="inlineStr">
        <is>
          <t>VÄSTRA GÖTALANDS LÄN</t>
        </is>
      </c>
      <c r="G277" t="inlineStr">
        <is>
          <t>ULRICEHAMN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46300</v>
      </c>
      <c r="F278" t="inlineStr">
        <is>
          <t>VÄSTRA GÖTALANDS LÄN</t>
        </is>
      </c>
      <c r="G278" t="inlineStr">
        <is>
          <t>ULRICEHAMN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46300</v>
      </c>
      <c r="F279" t="inlineStr">
        <is>
          <t>VÄSTRA GÖTALANDS LÄN</t>
        </is>
      </c>
      <c r="G279" t="inlineStr">
        <is>
          <t>ULRICEHAMN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46300</v>
      </c>
      <c r="F280" t="inlineStr">
        <is>
          <t>VÄSTRA GÖTALANDS LÄN</t>
        </is>
      </c>
      <c r="G280" t="inlineStr">
        <is>
          <t>ULRICEHAMN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45227</v>
      </c>
      <c r="E281" s="1" t="n">
        <v>46300</v>
      </c>
      <c r="F281" t="inlineStr">
        <is>
          <t>VÄSTRA GÖTALANDS LÄN</t>
        </is>
      </c>
      <c r="G281" t="inlineStr">
        <is>
          <t>ULRICEHAMN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45227</v>
      </c>
      <c r="E282" s="1" t="n">
        <v>46300</v>
      </c>
      <c r="F282" t="inlineStr">
        <is>
          <t>VÄSTRA GÖTALANDS LÄN</t>
        </is>
      </c>
      <c r="G282" t="inlineStr">
        <is>
          <t>ULRICEHAMN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46300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46300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Sveaskog</t>
        </is>
      </c>
      <c r="I284" t="n">
        <v>20.3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45412</v>
      </c>
      <c r="E285" s="1" t="n">
        <v>46300</v>
      </c>
      <c r="F285" t="inlineStr">
        <is>
          <t>VÄSTRA GÖTALANDS LÄN</t>
        </is>
      </c>
      <c r="G285" t="inlineStr">
        <is>
          <t>ULRICEHAMN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45259</v>
      </c>
      <c r="E286" s="1" t="n">
        <v>46300</v>
      </c>
      <c r="F286" t="inlineStr">
        <is>
          <t>VÄSTRA GÖTALANDS LÄN</t>
        </is>
      </c>
      <c r="G286" t="inlineStr">
        <is>
          <t>ULRICEHAMN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52132-2024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45608</v>
      </c>
      <c r="E287" s="1" t="n">
        <v>46300</v>
      </c>
      <c r="F287" t="inlineStr">
        <is>
          <t>VÄSTRA GÖTALANDS LÄN</t>
        </is>
      </c>
      <c r="G287" t="inlineStr">
        <is>
          <t>ULRICEHAMN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44663</v>
      </c>
      <c r="E288" s="1" t="n">
        <v>46300</v>
      </c>
      <c r="F288" t="inlineStr">
        <is>
          <t>VÄSTRA GÖTALANDS LÄN</t>
        </is>
      </c>
      <c r="G288" t="inlineStr">
        <is>
          <t>ULRICEHAMN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46300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Kommuner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45663</v>
      </c>
      <c r="E290" s="1" t="n">
        <v>46300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46300</v>
      </c>
      <c r="F291" t="inlineStr">
        <is>
          <t>VÄSTRA GÖTALANDS LÄN</t>
        </is>
      </c>
      <c r="G291" t="inlineStr">
        <is>
          <t>ULRICEHAMN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44800</v>
      </c>
      <c r="E292" s="1" t="n">
        <v>46300</v>
      </c>
      <c r="F292" t="inlineStr">
        <is>
          <t>VÄSTRA GÖTALANDS LÄN</t>
        </is>
      </c>
      <c r="G292" t="inlineStr">
        <is>
          <t>ULRICEHAMN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46300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46300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46300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46300</v>
      </c>
      <c r="F296" t="inlineStr">
        <is>
          <t>VÄSTRA GÖTALANDS LÄN</t>
        </is>
      </c>
      <c r="G296" t="inlineStr">
        <is>
          <t>ULRICEHAMN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46300</v>
      </c>
      <c r="F297" t="inlineStr">
        <is>
          <t>VÄSTRA GÖTALANDS LÄN</t>
        </is>
      </c>
      <c r="G297" t="inlineStr">
        <is>
          <t>ULRICEHAMN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46300</v>
      </c>
      <c r="F298" t="inlineStr">
        <is>
          <t>VÄSTRA GÖTALANDS LÄN</t>
        </is>
      </c>
      <c r="G298" t="inlineStr">
        <is>
          <t>ULRICEHAMN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46300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44663</v>
      </c>
      <c r="E300" s="1" t="n">
        <v>46300</v>
      </c>
      <c r="F300" t="inlineStr">
        <is>
          <t>VÄSTRA GÖTALANDS LÄN</t>
        </is>
      </c>
      <c r="G300" t="inlineStr">
        <is>
          <t>ULRICEHAMN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46300</v>
      </c>
      <c r="F301" t="inlineStr">
        <is>
          <t>VÄSTRA GÖTALANDS LÄN</t>
        </is>
      </c>
      <c r="G301" t="inlineStr">
        <is>
          <t>ULRICEHAMN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46300</v>
      </c>
      <c r="F302" t="inlineStr">
        <is>
          <t>VÄSTRA GÖTALANDS LÄN</t>
        </is>
      </c>
      <c r="G302" t="inlineStr">
        <is>
          <t>ULRICEHAMN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46300</v>
      </c>
      <c r="F303" t="inlineStr">
        <is>
          <t>VÄSTRA GÖTALANDS LÄN</t>
        </is>
      </c>
      <c r="G303" t="inlineStr">
        <is>
          <t>ULRICEHAMN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44606</v>
      </c>
      <c r="E304" s="1" t="n">
        <v>46300</v>
      </c>
      <c r="F304" t="inlineStr">
        <is>
          <t>VÄSTRA GÖTALANDS LÄN</t>
        </is>
      </c>
      <c r="G304" t="inlineStr">
        <is>
          <t>ULRICEHAMN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55270-2025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45968</v>
      </c>
      <c r="E305" s="1" t="n">
        <v>46300</v>
      </c>
      <c r="F305" t="inlineStr">
        <is>
          <t>VÄSTRA GÖTALANDS LÄN</t>
        </is>
      </c>
      <c r="G305" t="inlineStr">
        <is>
          <t>ULRICEHAMN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44607</v>
      </c>
      <c r="E306" s="1" t="n">
        <v>46300</v>
      </c>
      <c r="F306" t="inlineStr">
        <is>
          <t>VÄSTRA GÖTALANDS LÄN</t>
        </is>
      </c>
      <c r="G306" t="inlineStr">
        <is>
          <t>ULRICEHAMN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46300</v>
      </c>
      <c r="F307" t="inlineStr">
        <is>
          <t>VÄSTRA GÖTALANDS LÄN</t>
        </is>
      </c>
      <c r="G307" t="inlineStr">
        <is>
          <t>ULRICEHAMN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74199-2021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44558</v>
      </c>
      <c r="E308" s="1" t="n">
        <v>46300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45002</v>
      </c>
      <c r="E309" s="1" t="n">
        <v>46300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46300</v>
      </c>
      <c r="F310" t="inlineStr">
        <is>
          <t>VÄSTRA GÖTALANDS LÄN</t>
        </is>
      </c>
      <c r="G310" t="inlineStr">
        <is>
          <t>ULRICEHAMN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46300</v>
      </c>
      <c r="F311" t="inlineStr">
        <is>
          <t>VÄSTRA GÖTALANDS LÄN</t>
        </is>
      </c>
      <c r="G311" t="inlineStr">
        <is>
          <t>ULRICEHAMN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46300</v>
      </c>
      <c r="F312" t="inlineStr">
        <is>
          <t>VÄSTRA GÖTALANDS LÄN</t>
        </is>
      </c>
      <c r="G312" t="inlineStr">
        <is>
          <t>ULRICEHAMN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46300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46300</v>
      </c>
      <c r="F314" t="inlineStr">
        <is>
          <t>VÄSTRA GÖTALANDS LÄN</t>
        </is>
      </c>
      <c r="G314" t="inlineStr">
        <is>
          <t>ULRICEHAMN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45212</v>
      </c>
      <c r="E315" s="1" t="n">
        <v>46300</v>
      </c>
      <c r="F315" t="inlineStr">
        <is>
          <t>VÄSTRA GÖTALANDS LÄN</t>
        </is>
      </c>
      <c r="G315" t="inlineStr">
        <is>
          <t>ULRICEHAMN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46300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46300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46300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46300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46300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46300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46300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46112</v>
      </c>
      <c r="E323" s="1" t="n">
        <v>46300</v>
      </c>
      <c r="F323" t="inlineStr">
        <is>
          <t>VÄSTRA GÖTALANDS LÄN</t>
        </is>
      </c>
      <c r="G323" t="inlineStr">
        <is>
          <t>ULRICEHAMN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46300</v>
      </c>
      <c r="F324" t="inlineStr">
        <is>
          <t>VÄSTRA GÖTALANDS LÄN</t>
        </is>
      </c>
      <c r="G324" t="inlineStr">
        <is>
          <t>ULRICEHAMN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46300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46300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7094-2024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45343</v>
      </c>
      <c r="E327" s="1" t="n">
        <v>46300</v>
      </c>
      <c r="F327" t="inlineStr">
        <is>
          <t>VÄSTRA GÖTALANDS LÄN</t>
        </is>
      </c>
      <c r="G327" t="inlineStr">
        <is>
          <t>ULRICEHAMN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46300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45659</v>
      </c>
      <c r="E329" s="1" t="n">
        <v>46300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46300</v>
      </c>
      <c r="F330" t="inlineStr">
        <is>
          <t>VÄSTRA GÖTALANDS LÄN</t>
        </is>
      </c>
      <c r="G330" t="inlineStr">
        <is>
          <t>ULRICEHAMN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45341</v>
      </c>
      <c r="E331" s="1" t="n">
        <v>46300</v>
      </c>
      <c r="F331" t="inlineStr">
        <is>
          <t>VÄSTRA GÖTALANDS LÄN</t>
        </is>
      </c>
      <c r="G331" t="inlineStr">
        <is>
          <t>ULRICEHAMN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46118</v>
      </c>
      <c r="E332" s="1" t="n">
        <v>46300</v>
      </c>
      <c r="F332" t="inlineStr">
        <is>
          <t>VÄSTRA GÖTALANDS LÄN</t>
        </is>
      </c>
      <c r="G332" t="inlineStr">
        <is>
          <t>ULRICEHAMN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45361</v>
      </c>
      <c r="E333" s="1" t="n">
        <v>46300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46300</v>
      </c>
      <c r="F334" t="inlineStr">
        <is>
          <t>VÄSTRA GÖTALANDS LÄN</t>
        </is>
      </c>
      <c r="G334" t="inlineStr">
        <is>
          <t>ULRICEHAMN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46300</v>
      </c>
      <c r="F335" t="inlineStr">
        <is>
          <t>VÄSTRA GÖTALANDS LÄN</t>
        </is>
      </c>
      <c r="G335" t="inlineStr">
        <is>
          <t>ULRICEHAMN</t>
        </is>
      </c>
      <c r="I335" t="n">
        <v>14.8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46300</v>
      </c>
      <c r="F336" t="inlineStr">
        <is>
          <t>VÄSTRA GÖTALANDS LÄN</t>
        </is>
      </c>
      <c r="G336" t="inlineStr">
        <is>
          <t>ULRICEHAMN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46300</v>
      </c>
      <c r="F337" t="inlineStr">
        <is>
          <t>VÄSTRA GÖTALANDS LÄN</t>
        </is>
      </c>
      <c r="G337" t="inlineStr">
        <is>
          <t>ULRICEHAMN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46300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46300</v>
      </c>
      <c r="F339" t="inlineStr">
        <is>
          <t>VÄSTRA GÖTALANDS LÄN</t>
        </is>
      </c>
      <c r="G339" t="inlineStr">
        <is>
          <t>ULRICEHAMN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46300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46300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46300</v>
      </c>
      <c r="F342" t="inlineStr">
        <is>
          <t>VÄSTRA GÖTALANDS LÄN</t>
        </is>
      </c>
      <c r="G342" t="inlineStr">
        <is>
          <t>ULRICEHAMN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46300</v>
      </c>
      <c r="F343" t="inlineStr">
        <is>
          <t>VÄSTRA GÖTALANDS LÄN</t>
        </is>
      </c>
      <c r="G343" t="inlineStr">
        <is>
          <t>ULRICEHAMN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46300</v>
      </c>
      <c r="F344" t="inlineStr">
        <is>
          <t>VÄSTRA GÖTALANDS LÄN</t>
        </is>
      </c>
      <c r="G344" t="inlineStr">
        <is>
          <t>ULRICEHAMN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46300</v>
      </c>
      <c r="F345" t="inlineStr">
        <is>
          <t>VÄSTRA GÖTALANDS LÄN</t>
        </is>
      </c>
      <c r="G345" t="inlineStr">
        <is>
          <t>ULRICEHAMN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46300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46300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46300</v>
      </c>
      <c r="F348" t="inlineStr">
        <is>
          <t>VÄSTRA GÖTALANDS LÄN</t>
        </is>
      </c>
      <c r="G348" t="inlineStr">
        <is>
          <t>ULRICEHAMN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46300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45427</v>
      </c>
      <c r="E350" s="1" t="n">
        <v>46300</v>
      </c>
      <c r="F350" t="inlineStr">
        <is>
          <t>VÄSTRA GÖTALANDS LÄN</t>
        </is>
      </c>
      <c r="G350" t="inlineStr">
        <is>
          <t>ULRICEHAMN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46300</v>
      </c>
      <c r="F351" t="inlineStr">
        <is>
          <t>VÄSTRA GÖTALANDS LÄN</t>
        </is>
      </c>
      <c r="G351" t="inlineStr">
        <is>
          <t>ULRICEHAMN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45324</v>
      </c>
      <c r="E352" s="1" t="n">
        <v>46300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46300</v>
      </c>
      <c r="F353" t="inlineStr">
        <is>
          <t>VÄSTRA GÖTALANDS LÄN</t>
        </is>
      </c>
      <c r="G353" t="inlineStr">
        <is>
          <t>ULRICEHAMN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46300</v>
      </c>
      <c r="F354" t="inlineStr">
        <is>
          <t>VÄSTRA GÖTALANDS LÄN</t>
        </is>
      </c>
      <c r="G354" t="inlineStr">
        <is>
          <t>ULRICEHAMN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55997-2021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44477</v>
      </c>
      <c r="E355" s="1" t="n">
        <v>46300</v>
      </c>
      <c r="F355" t="inlineStr">
        <is>
          <t>VÄSTRA GÖTALANDS LÄN</t>
        </is>
      </c>
      <c r="G355" t="inlineStr">
        <is>
          <t>ULRICEHAMN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46300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46300</v>
      </c>
      <c r="F357" t="inlineStr">
        <is>
          <t>VÄSTRA GÖTALANDS LÄN</t>
        </is>
      </c>
      <c r="G357" t="inlineStr">
        <is>
          <t>ULRICEHAMN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46300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46300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60704-2025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45996</v>
      </c>
      <c r="E360" s="1" t="n">
        <v>46300</v>
      </c>
      <c r="F360" t="inlineStr">
        <is>
          <t>VÄSTRA GÖTALANDS LÄN</t>
        </is>
      </c>
      <c r="G360" t="inlineStr">
        <is>
          <t>ULRICEHAMN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46300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46300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45720</v>
      </c>
      <c r="E363" s="1" t="n">
        <v>46300</v>
      </c>
      <c r="F363" t="inlineStr">
        <is>
          <t>VÄSTRA GÖTALANDS LÄN</t>
        </is>
      </c>
      <c r="G363" t="inlineStr">
        <is>
          <t>ULRICEHAMN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46001</v>
      </c>
      <c r="E364" s="1" t="n">
        <v>46300</v>
      </c>
      <c r="F364" t="inlineStr">
        <is>
          <t>VÄSTRA GÖTALANDS LÄN</t>
        </is>
      </c>
      <c r="G364" t="inlineStr">
        <is>
          <t>ULRICEHAMN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46300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44638</v>
      </c>
      <c r="E366" s="1" t="n">
        <v>46300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Kommuner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46300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46300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45354</v>
      </c>
      <c r="E369" s="1" t="n">
        <v>46300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46300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46300</v>
      </c>
      <c r="F371" t="inlineStr">
        <is>
          <t>VÄSTRA GÖTALANDS LÄN</t>
        </is>
      </c>
      <c r="G371" t="inlineStr">
        <is>
          <t>ULRICEHAMN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46300</v>
      </c>
      <c r="F372" t="inlineStr">
        <is>
          <t>VÄSTRA GÖTALANDS LÄN</t>
        </is>
      </c>
      <c r="G372" t="inlineStr">
        <is>
          <t>ULRICEHAMN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46300</v>
      </c>
      <c r="F373" t="inlineStr">
        <is>
          <t>VÄSTRA GÖTALANDS LÄN</t>
        </is>
      </c>
      <c r="G373" t="inlineStr">
        <is>
          <t>ULRICEHAMN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45233</v>
      </c>
      <c r="E374" s="1" t="n">
        <v>46300</v>
      </c>
      <c r="F374" t="inlineStr">
        <is>
          <t>VÄSTRA GÖTALANDS LÄN</t>
        </is>
      </c>
      <c r="G374" t="inlineStr">
        <is>
          <t>ULRICEHAMN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45085</v>
      </c>
      <c r="E375" s="1" t="n">
        <v>46300</v>
      </c>
      <c r="F375" t="inlineStr">
        <is>
          <t>VÄSTRA GÖTALANDS LÄN</t>
        </is>
      </c>
      <c r="G375" t="inlineStr">
        <is>
          <t>ULRICEHAMN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46300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45484</v>
      </c>
      <c r="E377" s="1" t="n">
        <v>46300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46300</v>
      </c>
      <c r="F378" t="inlineStr">
        <is>
          <t>VÄSTRA GÖTALANDS LÄN</t>
        </is>
      </c>
      <c r="G378" t="inlineStr">
        <is>
          <t>ULRICEHAMN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46300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46300</v>
      </c>
      <c r="F380" t="inlineStr">
        <is>
          <t>VÄSTRA GÖTALANDS LÄN</t>
        </is>
      </c>
      <c r="G380" t="inlineStr">
        <is>
          <t>ULRICEHAMN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46300</v>
      </c>
      <c r="F381" t="inlineStr">
        <is>
          <t>VÄSTRA GÖTALANDS LÄN</t>
        </is>
      </c>
      <c r="G381" t="inlineStr">
        <is>
          <t>ULRICEHAMN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46300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44636</v>
      </c>
      <c r="E383" s="1" t="n">
        <v>46300</v>
      </c>
      <c r="F383" t="inlineStr">
        <is>
          <t>VÄSTRA GÖTALANDS LÄN</t>
        </is>
      </c>
      <c r="G383" t="inlineStr">
        <is>
          <t>ULRICEHAMN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46300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45187</v>
      </c>
      <c r="E385" s="1" t="n">
        <v>46300</v>
      </c>
      <c r="F385" t="inlineStr">
        <is>
          <t>VÄSTRA GÖTALANDS LÄN</t>
        </is>
      </c>
      <c r="G385" t="inlineStr">
        <is>
          <t>ULRICEHAMN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46300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46300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46300</v>
      </c>
      <c r="F388" t="inlineStr">
        <is>
          <t>VÄSTRA GÖTALANDS LÄN</t>
        </is>
      </c>
      <c r="G388" t="inlineStr">
        <is>
          <t>ULRICEHAMN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46300</v>
      </c>
      <c r="F389" t="inlineStr">
        <is>
          <t>VÄSTRA GÖTALANDS LÄN</t>
        </is>
      </c>
      <c r="G389" t="inlineStr">
        <is>
          <t>ULRICEHAMN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46300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Sveaskog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46300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46300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46300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46300</v>
      </c>
      <c r="F394" t="inlineStr">
        <is>
          <t>VÄSTRA GÖTALANDS LÄN</t>
        </is>
      </c>
      <c r="G394" t="inlineStr">
        <is>
          <t>ULRICEHAMN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46300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46300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46300</v>
      </c>
      <c r="F397" t="inlineStr">
        <is>
          <t>VÄSTRA GÖTALANDS LÄN</t>
        </is>
      </c>
      <c r="G397" t="inlineStr">
        <is>
          <t>ULRICEHAMN</t>
        </is>
      </c>
      <c r="I397" t="n">
        <v>16.7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45947</v>
      </c>
      <c r="E398" s="1" t="n">
        <v>46300</v>
      </c>
      <c r="F398" t="inlineStr">
        <is>
          <t>VÄSTRA GÖTALANDS LÄN</t>
        </is>
      </c>
      <c r="G398" t="inlineStr">
        <is>
          <t>ULRICEHAMN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40684-2024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46300</v>
      </c>
      <c r="F399" t="inlineStr">
        <is>
          <t>VÄSTRA GÖTALANDS LÄN</t>
        </is>
      </c>
      <c r="G399" t="inlineStr">
        <is>
          <t>ULRICEHAMN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46300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46300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46300</v>
      </c>
      <c r="F402" t="inlineStr">
        <is>
          <t>VÄSTRA GÖTALANDS LÄN</t>
        </is>
      </c>
      <c r="G402" t="inlineStr">
        <is>
          <t>ULRICEHAMN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46300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46300</v>
      </c>
      <c r="F404" t="inlineStr">
        <is>
          <t>VÄSTRA GÖTALANDS LÄN</t>
        </is>
      </c>
      <c r="G404" t="inlineStr">
        <is>
          <t>ULRICEHAMN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45035</v>
      </c>
      <c r="E405" s="1" t="n">
        <v>46300</v>
      </c>
      <c r="F405" t="inlineStr">
        <is>
          <t>VÄSTRA GÖTALANDS LÄN</t>
        </is>
      </c>
      <c r="G405" t="inlineStr">
        <is>
          <t>ULRICEHAMN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33631-2025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46300</v>
      </c>
      <c r="F406" t="inlineStr">
        <is>
          <t>VÄSTRA GÖTALANDS LÄN</t>
        </is>
      </c>
      <c r="G406" t="inlineStr">
        <is>
          <t>ULRICEHAMN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26248-2023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45091</v>
      </c>
      <c r="E407" s="1" t="n">
        <v>46300</v>
      </c>
      <c r="F407" t="inlineStr">
        <is>
          <t>VÄSTRA GÖTALANDS LÄN</t>
        </is>
      </c>
      <c r="G407" t="inlineStr">
        <is>
          <t>ULRICEHAMN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3441-2024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45320</v>
      </c>
      <c r="E408" s="1" t="n">
        <v>46300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46300</v>
      </c>
      <c r="F409" t="inlineStr">
        <is>
          <t>VÄSTRA GÖTALANDS LÄN</t>
        </is>
      </c>
      <c r="G409" t="inlineStr">
        <is>
          <t>ULRICEHAMN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46300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46300</v>
      </c>
      <c r="F411" t="inlineStr">
        <is>
          <t>VÄSTRA GÖTALANDS LÄN</t>
        </is>
      </c>
      <c r="G411" t="inlineStr">
        <is>
          <t>ULRICEHAMN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46300</v>
      </c>
      <c r="F412" t="inlineStr">
        <is>
          <t>VÄSTRA GÖTALANDS LÄN</t>
        </is>
      </c>
      <c r="G412" t="inlineStr">
        <is>
          <t>ULRICEHAMN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46300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46300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46300</v>
      </c>
      <c r="F415" t="inlineStr">
        <is>
          <t>VÄSTRA GÖTALANDS LÄN</t>
        </is>
      </c>
      <c r="G415" t="inlineStr">
        <is>
          <t>ULRICEHAMN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45797</v>
      </c>
      <c r="E416" s="1" t="n">
        <v>46300</v>
      </c>
      <c r="F416" t="inlineStr">
        <is>
          <t>VÄSTRA GÖTALANDS LÄN</t>
        </is>
      </c>
      <c r="G416" t="inlineStr">
        <is>
          <t>ULRICEHAMN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46300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46300</v>
      </c>
      <c r="F418" t="inlineStr">
        <is>
          <t>VÄSTRA GÖTALANDS LÄN</t>
        </is>
      </c>
      <c r="G418" t="inlineStr">
        <is>
          <t>ULRICEHAMN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46300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46300</v>
      </c>
      <c r="F420" t="inlineStr">
        <is>
          <t>VÄSTRA GÖTALANDS LÄN</t>
        </is>
      </c>
      <c r="G420" t="inlineStr">
        <is>
          <t>ULRICEHAMN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45663</v>
      </c>
      <c r="E421" s="1" t="n">
        <v>46300</v>
      </c>
      <c r="F421" t="inlineStr">
        <is>
          <t>VÄSTRA GÖTALANDS LÄN</t>
        </is>
      </c>
      <c r="G421" t="inlineStr">
        <is>
          <t>ULRICEHAMN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46300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46300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45835</v>
      </c>
      <c r="E424" s="1" t="n">
        <v>46300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46300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45411</v>
      </c>
      <c r="E426" s="1" t="n">
        <v>46300</v>
      </c>
      <c r="F426" t="inlineStr">
        <is>
          <t>VÄSTRA GÖTALANDS LÄN</t>
        </is>
      </c>
      <c r="G426" t="inlineStr">
        <is>
          <t>ULRICEHAMN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46300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44656</v>
      </c>
      <c r="E428" s="1" t="n">
        <v>46300</v>
      </c>
      <c r="F428" t="inlineStr">
        <is>
          <t>VÄSTRA GÖTALANDS LÄN</t>
        </is>
      </c>
      <c r="G428" t="inlineStr">
        <is>
          <t>ULRICEHAMN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46300</v>
      </c>
      <c r="F429" t="inlineStr">
        <is>
          <t>VÄSTRA GÖTALANDS LÄN</t>
        </is>
      </c>
      <c r="G429" t="inlineStr">
        <is>
          <t>ULRICEHAMN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46300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44762</v>
      </c>
      <c r="E431" s="1" t="n">
        <v>46300</v>
      </c>
      <c r="F431" t="inlineStr">
        <is>
          <t>VÄSTRA GÖTALANDS LÄN</t>
        </is>
      </c>
      <c r="G431" t="inlineStr">
        <is>
          <t>ULRICEHAMN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46300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45856</v>
      </c>
      <c r="E433" s="1" t="n">
        <v>46300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46300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46300</v>
      </c>
      <c r="F435" t="inlineStr">
        <is>
          <t>VÄSTRA GÖTALANDS LÄN</t>
        </is>
      </c>
      <c r="G435" t="inlineStr">
        <is>
          <t>ULRICEHAMN</t>
        </is>
      </c>
      <c r="I435" t="n">
        <v>14.7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46300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64998-2021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44514</v>
      </c>
      <c r="E437" s="1" t="n">
        <v>46300</v>
      </c>
      <c r="F437" t="inlineStr">
        <is>
          <t>VÄSTRA GÖTALANDS LÄN</t>
        </is>
      </c>
      <c r="G437" t="inlineStr">
        <is>
          <t>ULRICEHAMN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46300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46300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46300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45087</v>
      </c>
      <c r="E441" s="1" t="n">
        <v>46300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46300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46300</v>
      </c>
      <c r="F443" t="inlineStr">
        <is>
          <t>VÄSTRA GÖTALANDS LÄN</t>
        </is>
      </c>
      <c r="G443" t="inlineStr">
        <is>
          <t>ULRICEHAMN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45862</v>
      </c>
      <c r="E444" s="1" t="n">
        <v>46300</v>
      </c>
      <c r="F444" t="inlineStr">
        <is>
          <t>VÄSTRA GÖTALANDS LÄN</t>
        </is>
      </c>
      <c r="G444" t="inlineStr">
        <is>
          <t>ULRICEHAMN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45578</v>
      </c>
      <c r="E445" s="1" t="n">
        <v>46300</v>
      </c>
      <c r="F445" t="inlineStr">
        <is>
          <t>VÄSTRA GÖTALANDS LÄN</t>
        </is>
      </c>
      <c r="G445" t="inlineStr">
        <is>
          <t>ULRICEHAMN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46300</v>
      </c>
      <c r="F446" t="inlineStr">
        <is>
          <t>VÄSTRA GÖTALANDS LÄN</t>
        </is>
      </c>
      <c r="G446" t="inlineStr">
        <is>
          <t>ULRICEHAMN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45710</v>
      </c>
      <c r="E447" s="1" t="n">
        <v>46300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46300</v>
      </c>
      <c r="F448" t="inlineStr">
        <is>
          <t>VÄSTRA GÖTALANDS LÄN</t>
        </is>
      </c>
      <c r="G448" t="inlineStr">
        <is>
          <t>ULRICEHAMN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44678</v>
      </c>
      <c r="E449" s="1" t="n">
        <v>46300</v>
      </c>
      <c r="F449" t="inlineStr">
        <is>
          <t>VÄSTRA GÖTALANDS LÄN</t>
        </is>
      </c>
      <c r="G449" t="inlineStr">
        <is>
          <t>ULRICEHAMN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46300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46300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46300</v>
      </c>
      <c r="F452" t="inlineStr">
        <is>
          <t>VÄSTRA GÖTALANDS LÄN</t>
        </is>
      </c>
      <c r="G452" t="inlineStr">
        <is>
          <t>ULRICEHAMN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46300</v>
      </c>
      <c r="F453" t="inlineStr">
        <is>
          <t>VÄSTRA GÖTALANDS LÄN</t>
        </is>
      </c>
      <c r="G453" t="inlineStr">
        <is>
          <t>ULRICEHAMN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45086</v>
      </c>
      <c r="E454" s="1" t="n">
        <v>46300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46300</v>
      </c>
      <c r="F455" t="inlineStr">
        <is>
          <t>VÄSTRA GÖTALANDS LÄN</t>
        </is>
      </c>
      <c r="G455" t="inlineStr">
        <is>
          <t>ULRICEHAMN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45868</v>
      </c>
      <c r="E456" s="1" t="n">
        <v>46300</v>
      </c>
      <c r="F456" t="inlineStr">
        <is>
          <t>VÄSTRA GÖTALANDS LÄN</t>
        </is>
      </c>
      <c r="G456" t="inlineStr">
        <is>
          <t>ULRICEHAMN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45008</v>
      </c>
      <c r="E457" s="1" t="n">
        <v>46300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46300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46300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45605</v>
      </c>
      <c r="E460" s="1" t="n">
        <v>46300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46300</v>
      </c>
      <c r="F461" t="inlineStr">
        <is>
          <t>VÄSTRA GÖTALANDS LÄN</t>
        </is>
      </c>
      <c r="G461" t="inlineStr">
        <is>
          <t>ULRICEHAMN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46300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46300</v>
      </c>
      <c r="F463" t="inlineStr">
        <is>
          <t>VÄSTRA GÖTALANDS LÄN</t>
        </is>
      </c>
      <c r="G463" t="inlineStr">
        <is>
          <t>ULRICEHAMN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44971</v>
      </c>
      <c r="E464" s="1" t="n">
        <v>46300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44781</v>
      </c>
      <c r="E465" s="1" t="n">
        <v>46300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46300</v>
      </c>
      <c r="F466" t="inlineStr">
        <is>
          <t>VÄSTRA GÖTALANDS LÄN</t>
        </is>
      </c>
      <c r="G466" t="inlineStr">
        <is>
          <t>ULRICEHAMN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45626</v>
      </c>
      <c r="E467" s="1" t="n">
        <v>46300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45666</v>
      </c>
      <c r="E468" s="1" t="n">
        <v>46300</v>
      </c>
      <c r="F468" t="inlineStr">
        <is>
          <t>VÄSTRA GÖTALANDS LÄN</t>
        </is>
      </c>
      <c r="G468" t="inlineStr">
        <is>
          <t>ULRICEHAMN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46300</v>
      </c>
      <c r="F469" t="inlineStr">
        <is>
          <t>VÄSTRA GÖTALANDS LÄN</t>
        </is>
      </c>
      <c r="G469" t="inlineStr">
        <is>
          <t>ULRICEHAMN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46300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46300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46300</v>
      </c>
      <c r="F472" t="inlineStr">
        <is>
          <t>VÄSTRA GÖTALANDS LÄN</t>
        </is>
      </c>
      <c r="G472" t="inlineStr">
        <is>
          <t>ULRICEHAMN</t>
        </is>
      </c>
      <c r="I472" t="n">
        <v>17.6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46300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46300</v>
      </c>
      <c r="F474" t="inlineStr">
        <is>
          <t>VÄSTRA GÖTALANDS LÄN</t>
        </is>
      </c>
      <c r="G474" t="inlineStr">
        <is>
          <t>ULRICEHAMN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46300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46300</v>
      </c>
      <c r="F476" t="inlineStr">
        <is>
          <t>VÄSTRA GÖTALANDS LÄN</t>
        </is>
      </c>
      <c r="G476" t="inlineStr">
        <is>
          <t>ULRICEHAMN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37358-2022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44809</v>
      </c>
      <c r="E477" s="1" t="n">
        <v>46300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45281</v>
      </c>
      <c r="E478" s="1" t="n">
        <v>46300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46300</v>
      </c>
      <c r="F479" t="inlineStr">
        <is>
          <t>VÄSTRA GÖTALANDS LÄN</t>
        </is>
      </c>
      <c r="G479" t="inlineStr">
        <is>
          <t>ULRICEHAMN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46300</v>
      </c>
      <c r="F480" t="inlineStr">
        <is>
          <t>VÄSTRA GÖTALANDS LÄN</t>
        </is>
      </c>
      <c r="G480" t="inlineStr">
        <is>
          <t>ULRICEHAMN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63094-2023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45273</v>
      </c>
      <c r="E481" s="1" t="n">
        <v>46300</v>
      </c>
      <c r="F481" t="inlineStr">
        <is>
          <t>VÄSTRA GÖTALANDS LÄN</t>
        </is>
      </c>
      <c r="G481" t="inlineStr">
        <is>
          <t>ULRICEHAMN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44638</v>
      </c>
      <c r="E482" s="1" t="n">
        <v>46300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45686</v>
      </c>
      <c r="E483" s="1" t="n">
        <v>46300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46300</v>
      </c>
      <c r="F484" t="inlineStr">
        <is>
          <t>VÄSTRA GÖTALANDS LÄN</t>
        </is>
      </c>
      <c r="G484" t="inlineStr">
        <is>
          <t>ULRICEHAMN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46300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46300</v>
      </c>
      <c r="F486" t="inlineStr">
        <is>
          <t>VÄSTRA GÖTALANDS LÄN</t>
        </is>
      </c>
      <c r="G486" t="inlineStr">
        <is>
          <t>ULRICEHAMN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46300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46300</v>
      </c>
      <c r="F488" t="inlineStr">
        <is>
          <t>VÄSTRA GÖTALANDS LÄN</t>
        </is>
      </c>
      <c r="G488" t="inlineStr">
        <is>
          <t>ULRICEHAMN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46300</v>
      </c>
      <c r="F489" t="inlineStr">
        <is>
          <t>VÄSTRA GÖTALANDS LÄN</t>
        </is>
      </c>
      <c r="G489" t="inlineStr">
        <is>
          <t>ULRICEHAMN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45223</v>
      </c>
      <c r="E490" s="1" t="n">
        <v>46300</v>
      </c>
      <c r="F490" t="inlineStr">
        <is>
          <t>VÄSTRA GÖTALANDS LÄN</t>
        </is>
      </c>
      <c r="G490" t="inlineStr">
        <is>
          <t>ULRICEHAMN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46300</v>
      </c>
      <c r="F491" t="inlineStr">
        <is>
          <t>VÄSTRA GÖTALANDS LÄN</t>
        </is>
      </c>
      <c r="G491" t="inlineStr">
        <is>
          <t>ULRICEHAMN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46300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45626</v>
      </c>
      <c r="E493" s="1" t="n">
        <v>46300</v>
      </c>
      <c r="F493" t="inlineStr">
        <is>
          <t>VÄSTRA GÖTALANDS LÄN</t>
        </is>
      </c>
      <c r="G493" t="inlineStr">
        <is>
          <t>ULRICEHAMN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46300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37560-2025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45880</v>
      </c>
      <c r="E495" s="1" t="n">
        <v>46300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46125</v>
      </c>
      <c r="E496" s="1" t="n">
        <v>46300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46300</v>
      </c>
      <c r="F497" t="inlineStr">
        <is>
          <t>VÄSTRA GÖTALANDS LÄN</t>
        </is>
      </c>
      <c r="G497" t="inlineStr">
        <is>
          <t>ULRICEHAMN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19864-2025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45771</v>
      </c>
      <c r="E498" s="1" t="n">
        <v>46300</v>
      </c>
      <c r="F498" t="inlineStr">
        <is>
          <t>VÄSTRA GÖTALANDS LÄN</t>
        </is>
      </c>
      <c r="G498" t="inlineStr">
        <is>
          <t>ULRICEHAMN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44626</v>
      </c>
      <c r="E499" s="1" t="n">
        <v>46300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44914</v>
      </c>
      <c r="E500" s="1" t="n">
        <v>46300</v>
      </c>
      <c r="F500" t="inlineStr">
        <is>
          <t>VÄSTRA GÖTALANDS LÄN</t>
        </is>
      </c>
      <c r="G500" t="inlineStr">
        <is>
          <t>ULRICEHAMN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46300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14919-2024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45398</v>
      </c>
      <c r="E502" s="1" t="n">
        <v>46300</v>
      </c>
      <c r="F502" t="inlineStr">
        <is>
          <t>VÄSTRA GÖTALANDS LÄN</t>
        </is>
      </c>
      <c r="G502" t="inlineStr">
        <is>
          <t>ULRICEHAMN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46300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46300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46300</v>
      </c>
      <c r="F505" t="inlineStr">
        <is>
          <t>VÄSTRA GÖTALANDS LÄN</t>
        </is>
      </c>
      <c r="G505" t="inlineStr">
        <is>
          <t>ULRICEHAMN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65400-2021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44515</v>
      </c>
      <c r="E506" s="1" t="n">
        <v>46300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45199</v>
      </c>
      <c r="E507" s="1" t="n">
        <v>46300</v>
      </c>
      <c r="F507" t="inlineStr">
        <is>
          <t>VÄSTRA GÖTALANDS LÄN</t>
        </is>
      </c>
      <c r="G507" t="inlineStr">
        <is>
          <t>ULRICEHAMN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22480-2023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45071</v>
      </c>
      <c r="E508" s="1" t="n">
        <v>46300</v>
      </c>
      <c r="F508" t="inlineStr">
        <is>
          <t>VÄSTRA GÖTALANDS LÄN</t>
        </is>
      </c>
      <c r="G508" t="inlineStr">
        <is>
          <t>ULRICEHAMN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45427</v>
      </c>
      <c r="E509" s="1" t="n">
        <v>46300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46300</v>
      </c>
      <c r="F510" t="inlineStr">
        <is>
          <t>VÄSTRA GÖTALANDS LÄN</t>
        </is>
      </c>
      <c r="G510" t="inlineStr">
        <is>
          <t>ULRICEHAMN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46300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44830</v>
      </c>
      <c r="E512" s="1" t="n">
        <v>46300</v>
      </c>
      <c r="F512" t="inlineStr">
        <is>
          <t>VÄSTRA GÖTALANDS LÄN</t>
        </is>
      </c>
      <c r="G512" t="inlineStr">
        <is>
          <t>ULRICEHAMN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46300</v>
      </c>
      <c r="F513" t="inlineStr">
        <is>
          <t>VÄSTRA GÖTALANDS LÄN</t>
        </is>
      </c>
      <c r="G513" t="inlineStr">
        <is>
          <t>ULRICEHAMN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44965</v>
      </c>
      <c r="E514" s="1" t="n">
        <v>46300</v>
      </c>
      <c r="F514" t="inlineStr">
        <is>
          <t>VÄSTRA GÖTALANDS LÄN</t>
        </is>
      </c>
      <c r="G514" t="inlineStr">
        <is>
          <t>ULRICEHAMN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46300</v>
      </c>
      <c r="F515" t="inlineStr">
        <is>
          <t>VÄSTRA GÖTALANDS LÄN</t>
        </is>
      </c>
      <c r="G515" t="inlineStr">
        <is>
          <t>ULRICEHAMN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46300</v>
      </c>
      <c r="F516" t="inlineStr">
        <is>
          <t>VÄSTRA GÖTALANDS LÄN</t>
        </is>
      </c>
      <c r="G516" t="inlineStr">
        <is>
          <t>ULRICEHAMN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46300</v>
      </c>
      <c r="F517" t="inlineStr">
        <is>
          <t>VÄSTRA GÖTALANDS LÄN</t>
        </is>
      </c>
      <c r="G517" t="inlineStr">
        <is>
          <t>ULRICEHAMN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46300</v>
      </c>
      <c r="F518" t="inlineStr">
        <is>
          <t>VÄSTRA GÖTALANDS LÄN</t>
        </is>
      </c>
      <c r="G518" t="inlineStr">
        <is>
          <t>ULRICEHAMN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46300</v>
      </c>
      <c r="F519" t="inlineStr">
        <is>
          <t>VÄSTRA GÖTALANDS LÄN</t>
        </is>
      </c>
      <c r="G519" t="inlineStr">
        <is>
          <t>ULRICEHAMN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45498</v>
      </c>
      <c r="E520" s="1" t="n">
        <v>46300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Kyrkan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46493-2023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46300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45316</v>
      </c>
      <c r="E522" s="1" t="n">
        <v>46300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46300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Sveaskog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46300</v>
      </c>
      <c r="F524" t="inlineStr">
        <is>
          <t>VÄSTRA GÖTALANDS LÄN</t>
        </is>
      </c>
      <c r="G524" t="inlineStr">
        <is>
          <t>ULRICEHAMN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46300</v>
      </c>
      <c r="F525" t="inlineStr">
        <is>
          <t>VÄSTRA GÖTALANDS LÄN</t>
        </is>
      </c>
      <c r="G525" t="inlineStr">
        <is>
          <t>ULRICEHAMN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69114-2021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44530</v>
      </c>
      <c r="E526" s="1" t="n">
        <v>46300</v>
      </c>
      <c r="F526" t="inlineStr">
        <is>
          <t>VÄSTRA GÖTALANDS LÄN</t>
        </is>
      </c>
      <c r="G526" t="inlineStr">
        <is>
          <t>ULRICEHAMN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45407</v>
      </c>
      <c r="E527" s="1" t="n">
        <v>46300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45471</v>
      </c>
      <c r="E528" s="1" t="n">
        <v>46300</v>
      </c>
      <c r="F528" t="inlineStr">
        <is>
          <t>VÄSTRA GÖTALANDS LÄN</t>
        </is>
      </c>
      <c r="G528" t="inlineStr">
        <is>
          <t>ULRICEHAMN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44847</v>
      </c>
      <c r="E529" s="1" t="n">
        <v>46300</v>
      </c>
      <c r="F529" t="inlineStr">
        <is>
          <t>VÄSTRA GÖTALANDS LÄN</t>
        </is>
      </c>
      <c r="G529" t="inlineStr">
        <is>
          <t>ULRICEHAMN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44812</v>
      </c>
      <c r="E530" s="1" t="n">
        <v>46300</v>
      </c>
      <c r="F530" t="inlineStr">
        <is>
          <t>VÄSTRA GÖTALANDS LÄN</t>
        </is>
      </c>
      <c r="G530" t="inlineStr">
        <is>
          <t>ULRICEHAMN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44971</v>
      </c>
      <c r="E531" s="1" t="n">
        <v>46300</v>
      </c>
      <c r="F531" t="inlineStr">
        <is>
          <t>VÄSTRA GÖTALANDS LÄN</t>
        </is>
      </c>
      <c r="G531" t="inlineStr">
        <is>
          <t>ULRICEHAMN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45601</v>
      </c>
      <c r="E532" s="1" t="n">
        <v>46300</v>
      </c>
      <c r="F532" t="inlineStr">
        <is>
          <t>VÄSTRA GÖTALANDS LÄN</t>
        </is>
      </c>
      <c r="G532" t="inlineStr">
        <is>
          <t>ULRICEHAMN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44685</v>
      </c>
      <c r="E533" s="1" t="n">
        <v>46300</v>
      </c>
      <c r="F533" t="inlineStr">
        <is>
          <t>VÄSTRA GÖTALANDS LÄN</t>
        </is>
      </c>
      <c r="G533" t="inlineStr">
        <is>
          <t>ULRICEHAMN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45538</v>
      </c>
      <c r="E534" s="1" t="n">
        <v>46300</v>
      </c>
      <c r="F534" t="inlineStr">
        <is>
          <t>VÄSTRA GÖTALANDS LÄN</t>
        </is>
      </c>
      <c r="G534" t="inlineStr">
        <is>
          <t>ULRICEHAMN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45093</v>
      </c>
      <c r="E535" s="1" t="n">
        <v>46300</v>
      </c>
      <c r="F535" t="inlineStr">
        <is>
          <t>VÄSTRA GÖTALANDS LÄN</t>
        </is>
      </c>
      <c r="G535" t="inlineStr">
        <is>
          <t>ULRICEHAMN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45320</v>
      </c>
      <c r="E536" s="1" t="n">
        <v>46300</v>
      </c>
      <c r="F536" t="inlineStr">
        <is>
          <t>VÄSTRA GÖTALANDS LÄN</t>
        </is>
      </c>
      <c r="G536" t="inlineStr">
        <is>
          <t>ULRICEHAMN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46300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46300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46300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46300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46300</v>
      </c>
      <c r="F541" t="inlineStr">
        <is>
          <t>VÄSTRA GÖTALANDS LÄN</t>
        </is>
      </c>
      <c r="G541" t="inlineStr">
        <is>
          <t>ULRICEHAMN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45671</v>
      </c>
      <c r="E542" s="1" t="n">
        <v>46300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46300</v>
      </c>
      <c r="F543" t="inlineStr">
        <is>
          <t>VÄSTRA GÖTALANDS LÄN</t>
        </is>
      </c>
      <c r="G543" t="inlineStr">
        <is>
          <t>ULRICEHAMN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45484</v>
      </c>
      <c r="E544" s="1" t="n">
        <v>46300</v>
      </c>
      <c r="F544" t="inlineStr">
        <is>
          <t>VÄSTRA GÖTALANDS LÄN</t>
        </is>
      </c>
      <c r="G544" t="inlineStr">
        <is>
          <t>ULRICEHAMN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46211</v>
      </c>
      <c r="E545" s="1" t="n">
        <v>46300</v>
      </c>
      <c r="F545" t="inlineStr">
        <is>
          <t>VÄSTRA GÖTALANDS LÄN</t>
        </is>
      </c>
      <c r="G545" t="inlineStr">
        <is>
          <t>ULRICEHAMN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45225</v>
      </c>
      <c r="E546" s="1" t="n">
        <v>46300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46216</v>
      </c>
      <c r="E547" s="1" t="n">
        <v>46300</v>
      </c>
      <c r="F547" t="inlineStr">
        <is>
          <t>VÄSTRA GÖTALANDS LÄN</t>
        </is>
      </c>
      <c r="G547" t="inlineStr">
        <is>
          <t>ULRICEHAMN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46216</v>
      </c>
      <c r="E548" s="1" t="n">
        <v>46300</v>
      </c>
      <c r="F548" t="inlineStr">
        <is>
          <t>VÄSTRA GÖTALANDS LÄN</t>
        </is>
      </c>
      <c r="G548" t="inlineStr">
        <is>
          <t>ULRICEHAMN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46300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45625</v>
      </c>
      <c r="E550" s="1" t="n">
        <v>46300</v>
      </c>
      <c r="F550" t="inlineStr">
        <is>
          <t>VÄSTRA GÖTALANDS LÄN</t>
        </is>
      </c>
      <c r="G550" t="inlineStr">
        <is>
          <t>ULRICEHAMN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46211</v>
      </c>
      <c r="E551" s="1" t="n">
        <v>46300</v>
      </c>
      <c r="F551" t="inlineStr">
        <is>
          <t>VÄSTRA GÖTALANDS LÄN</t>
        </is>
      </c>
      <c r="G551" t="inlineStr">
        <is>
          <t>ULRICEHAMN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45140</v>
      </c>
      <c r="E552" s="1" t="n">
        <v>46300</v>
      </c>
      <c r="F552" t="inlineStr">
        <is>
          <t>VÄSTRA GÖTALANDS LÄN</t>
        </is>
      </c>
      <c r="G552" t="inlineStr">
        <is>
          <t>ULRICEHAMN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46300</v>
      </c>
      <c r="F553" t="inlineStr">
        <is>
          <t>VÄSTRA GÖTALANDS LÄN</t>
        </is>
      </c>
      <c r="G553" t="inlineStr">
        <is>
          <t>ULRICEHAMN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46300</v>
      </c>
      <c r="F554" t="inlineStr">
        <is>
          <t>VÄSTRA GÖTALANDS LÄN</t>
        </is>
      </c>
      <c r="G554" t="inlineStr">
        <is>
          <t>ULRICEHAMN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46261</v>
      </c>
      <c r="E555" s="1" t="n">
        <v>46300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46261</v>
      </c>
      <c r="E556" s="1" t="n">
        <v>46300</v>
      </c>
      <c r="F556" t="inlineStr">
        <is>
          <t>VÄSTRA GÖTALANDS LÄN</t>
        </is>
      </c>
      <c r="G556" t="inlineStr">
        <is>
          <t>ULRICEHAMN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45166</v>
      </c>
      <c r="E557" s="1" t="n">
        <v>46300</v>
      </c>
      <c r="F557" t="inlineStr">
        <is>
          <t>VÄSTRA GÖTALANDS LÄN</t>
        </is>
      </c>
      <c r="G557" t="inlineStr">
        <is>
          <t>ULRICEHAMN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46300</v>
      </c>
      <c r="F558" t="inlineStr">
        <is>
          <t>VÄSTRA GÖTALANDS LÄN</t>
        </is>
      </c>
      <c r="G558" t="inlineStr">
        <is>
          <t>ULRICEHAMN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46300</v>
      </c>
      <c r="F559" t="inlineStr">
        <is>
          <t>VÄSTRA GÖTALANDS LÄN</t>
        </is>
      </c>
      <c r="G559" t="inlineStr">
        <is>
          <t>ULRICEHAMN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46262</v>
      </c>
      <c r="E560" s="1" t="n">
        <v>46300</v>
      </c>
      <c r="F560" t="inlineStr">
        <is>
          <t>VÄSTRA GÖTALANDS LÄN</t>
        </is>
      </c>
      <c r="G560" t="inlineStr">
        <is>
          <t>ULRICEHAMN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44959</v>
      </c>
      <c r="E561" s="1" t="n">
        <v>46300</v>
      </c>
      <c r="F561" t="inlineStr">
        <is>
          <t>VÄSTRA GÖTALANDS LÄN</t>
        </is>
      </c>
      <c r="G561" t="inlineStr">
        <is>
          <t>ULRICEHAMN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46300</v>
      </c>
      <c r="F562" t="inlineStr">
        <is>
          <t>VÄSTRA GÖTALANDS LÄN</t>
        </is>
      </c>
      <c r="G562" t="inlineStr">
        <is>
          <t>ULRICEHAMN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46300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36054-2026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46300</v>
      </c>
      <c r="F564" t="inlineStr">
        <is>
          <t>VÄSTRA GÖTALANDS LÄN</t>
        </is>
      </c>
      <c r="G564" t="inlineStr">
        <is>
          <t>ULRICEHAMN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46223</v>
      </c>
      <c r="E565" s="1" t="n">
        <v>46300</v>
      </c>
      <c r="F565" t="inlineStr">
        <is>
          <t>VÄSTRA GÖTALANDS LÄN</t>
        </is>
      </c>
      <c r="G565" t="inlineStr">
        <is>
          <t>ULRICEHAMN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54519-2022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44882</v>
      </c>
      <c r="E566" s="1" t="n">
        <v>46300</v>
      </c>
      <c r="F566" t="inlineStr">
        <is>
          <t>VÄSTRA GÖTALANDS LÄN</t>
        </is>
      </c>
      <c r="G566" t="inlineStr">
        <is>
          <t>ULRICEHAMN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46300</v>
      </c>
      <c r="F567" t="inlineStr">
        <is>
          <t>VÄSTRA GÖTALANDS LÄN</t>
        </is>
      </c>
      <c r="G567" t="inlineStr">
        <is>
          <t>ULRICEHAMN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46224</v>
      </c>
      <c r="E568" s="1" t="n">
        <v>46300</v>
      </c>
      <c r="F568" t="inlineStr">
        <is>
          <t>VÄSTRA GÖTALANDS LÄN</t>
        </is>
      </c>
      <c r="G568" t="inlineStr">
        <is>
          <t>ULRICEHAMN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46224</v>
      </c>
      <c r="E569" s="1" t="n">
        <v>46300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46223</v>
      </c>
      <c r="E570" s="1" t="n">
        <v>46300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46224</v>
      </c>
      <c r="E571" s="1" t="n">
        <v>46300</v>
      </c>
      <c r="F571" t="inlineStr">
        <is>
          <t>VÄSTRA GÖTALANDS LÄN</t>
        </is>
      </c>
      <c r="G571" t="inlineStr">
        <is>
          <t>ULRICEHAMN</t>
        </is>
      </c>
      <c r="H571" t="inlineStr">
        <is>
          <t>Kyrkan</t>
        </is>
      </c>
      <c r="I571" t="n">
        <v>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45647-2022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44845</v>
      </c>
      <c r="E572" s="1" t="n">
        <v>46300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45338</v>
      </c>
      <c r="E573" s="1" t="n">
        <v>46300</v>
      </c>
      <c r="F573" t="inlineStr">
        <is>
          <t>VÄSTRA GÖTALANDS LÄN</t>
        </is>
      </c>
      <c r="G573" t="inlineStr">
        <is>
          <t>ULRICEHAMN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46300</v>
      </c>
      <c r="F574" t="inlineStr">
        <is>
          <t>VÄSTRA GÖTALANDS LÄN</t>
        </is>
      </c>
      <c r="G574" t="inlineStr">
        <is>
          <t>ULRICEHAMN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46300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46300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14599-2024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45395</v>
      </c>
      <c r="E577" s="1" t="n">
        <v>46300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46300</v>
      </c>
      <c r="F578" t="inlineStr">
        <is>
          <t>VÄSTRA GÖTALANDS LÄN</t>
        </is>
      </c>
      <c r="G578" t="inlineStr">
        <is>
          <t>ULRICEHAMN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46300</v>
      </c>
      <c r="F579" t="inlineStr">
        <is>
          <t>VÄSTRA GÖTALANDS LÄN</t>
        </is>
      </c>
      <c r="G579" t="inlineStr">
        <is>
          <t>ULRICEHAMN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45676</v>
      </c>
      <c r="E580" s="1" t="n">
        <v>46300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45385</v>
      </c>
      <c r="E581" s="1" t="n">
        <v>46300</v>
      </c>
      <c r="F581" t="inlineStr">
        <is>
          <t>VÄSTRA GÖTALANDS LÄN</t>
        </is>
      </c>
      <c r="G581" t="inlineStr">
        <is>
          <t>ULRICEHAMN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46271</v>
      </c>
      <c r="E582" s="1" t="n">
        <v>46300</v>
      </c>
      <c r="F582" t="inlineStr">
        <is>
          <t>VÄSTRA GÖTALANDS LÄN</t>
        </is>
      </c>
      <c r="G582" t="inlineStr">
        <is>
          <t>ULRICEHAMN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46271</v>
      </c>
      <c r="E583" s="1" t="n">
        <v>46300</v>
      </c>
      <c r="F583" t="inlineStr">
        <is>
          <t>VÄSTRA GÖTALANDS LÄN</t>
        </is>
      </c>
      <c r="G583" t="inlineStr">
        <is>
          <t>ULRICEHAMN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45626</v>
      </c>
      <c r="E584" s="1" t="n">
        <v>46300</v>
      </c>
      <c r="F584" t="inlineStr">
        <is>
          <t>VÄSTRA GÖTALANDS LÄN</t>
        </is>
      </c>
      <c r="G584" t="inlineStr">
        <is>
          <t>ULRICEHAMN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45626</v>
      </c>
      <c r="E585" s="1" t="n">
        <v>46300</v>
      </c>
      <c r="F585" t="inlineStr">
        <is>
          <t>VÄSTRA GÖTALANDS LÄN</t>
        </is>
      </c>
      <c r="G585" t="inlineStr">
        <is>
          <t>ULRICEHAMN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45626</v>
      </c>
      <c r="E586" s="1" t="n">
        <v>46300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45934</v>
      </c>
      <c r="E587" s="1" t="n">
        <v>46300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45299</v>
      </c>
      <c r="E588" s="1" t="n">
        <v>46300</v>
      </c>
      <c r="F588" t="inlineStr">
        <is>
          <t>VÄSTRA GÖTALANDS LÄN</t>
        </is>
      </c>
      <c r="G588" t="inlineStr">
        <is>
          <t>ULRICEHAMN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46300</v>
      </c>
      <c r="F589" t="inlineStr">
        <is>
          <t>VÄSTRA GÖTALANDS LÄN</t>
        </is>
      </c>
      <c r="G589" t="inlineStr">
        <is>
          <t>ULRICEHAMN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46300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45224</v>
      </c>
      <c r="E591" s="1" t="n">
        <v>46300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46300</v>
      </c>
      <c r="F592" t="inlineStr">
        <is>
          <t>VÄSTRA GÖTALANDS LÄN</t>
        </is>
      </c>
      <c r="G592" t="inlineStr">
        <is>
          <t>ULRICEHAMN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31863-2026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46231</v>
      </c>
      <c r="E593" s="1" t="n">
        <v>46300</v>
      </c>
      <c r="F593" t="inlineStr">
        <is>
          <t>VÄSTRA GÖTALANDS LÄN</t>
        </is>
      </c>
      <c r="G593" t="inlineStr">
        <is>
          <t>ULRICEHAMN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46300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46300</v>
      </c>
      <c r="F595" t="inlineStr">
        <is>
          <t>VÄSTRA GÖTALANDS LÄN</t>
        </is>
      </c>
      <c r="G595" t="inlineStr">
        <is>
          <t>ULRICEHAMN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46277</v>
      </c>
      <c r="E596" s="1" t="n">
        <v>46300</v>
      </c>
      <c r="F596" t="inlineStr">
        <is>
          <t>VÄSTRA GÖTALANDS LÄN</t>
        </is>
      </c>
      <c r="G596" t="inlineStr">
        <is>
          <t>ULRICEHAMN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46277</v>
      </c>
      <c r="E597" s="1" t="n">
        <v>46300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45363</v>
      </c>
      <c r="E598" s="1" t="n">
        <v>46300</v>
      </c>
      <c r="F598" t="inlineStr">
        <is>
          <t>VÄSTRA GÖTALANDS LÄN</t>
        </is>
      </c>
      <c r="G598" t="inlineStr">
        <is>
          <t>ULRICEHAMN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46300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45225</v>
      </c>
      <c r="E600" s="1" t="n">
        <v>46300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45190</v>
      </c>
      <c r="E601" s="1" t="n">
        <v>46300</v>
      </c>
      <c r="F601" t="inlineStr">
        <is>
          <t>VÄSTRA GÖTALANDS LÄN</t>
        </is>
      </c>
      <c r="G601" t="inlineStr">
        <is>
          <t>ULRICEHAMN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32332-2026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46238</v>
      </c>
      <c r="E602" s="1" t="n">
        <v>46300</v>
      </c>
      <c r="F602" t="inlineStr">
        <is>
          <t>VÄSTRA GÖTALANDS LÄN</t>
        </is>
      </c>
      <c r="G602" t="inlineStr">
        <is>
          <t>ULRICEHAMN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61908-2021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46300</v>
      </c>
      <c r="F603" t="inlineStr">
        <is>
          <t>VÄSTRA GÖTALANDS LÄN</t>
        </is>
      </c>
      <c r="G603" t="inlineStr">
        <is>
          <t>ULRICEHAMN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45384</v>
      </c>
      <c r="E604" s="1" t="n">
        <v>46300</v>
      </c>
      <c r="F604" t="inlineStr">
        <is>
          <t>VÄSTRA GÖTALANDS LÄN</t>
        </is>
      </c>
      <c r="G604" t="inlineStr">
        <is>
          <t>ULRICEHAMN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46300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46300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42438-2024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45565</v>
      </c>
      <c r="E607" s="1" t="n">
        <v>46300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52712-2023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46300</v>
      </c>
      <c r="F608" t="inlineStr">
        <is>
          <t>VÄSTRA GÖTALANDS LÄN</t>
        </is>
      </c>
      <c r="G608" t="inlineStr">
        <is>
          <t>ULRICEHAMN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52714-2023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46300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46300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46300</v>
      </c>
      <c r="F611" t="inlineStr">
        <is>
          <t>VÄSTRA GÖTALANDS LÄN</t>
        </is>
      </c>
      <c r="G611" t="inlineStr">
        <is>
          <t>ULRICEHAMN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46300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45008</v>
      </c>
      <c r="E613" s="1" t="n">
        <v>46300</v>
      </c>
      <c r="F613" t="inlineStr">
        <is>
          <t>VÄSTRA GÖTALANDS LÄN</t>
        </is>
      </c>
      <c r="G613" t="inlineStr">
        <is>
          <t>ULRICEHAMN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44763</v>
      </c>
      <c r="E614" s="1" t="n">
        <v>46300</v>
      </c>
      <c r="F614" t="inlineStr">
        <is>
          <t>VÄSTRA GÖTALANDS LÄN</t>
        </is>
      </c>
      <c r="G614" t="inlineStr">
        <is>
          <t>ULRICEHAMN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46300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46300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45939</v>
      </c>
      <c r="E617" s="1" t="n">
        <v>46300</v>
      </c>
      <c r="F617" t="inlineStr">
        <is>
          <t>VÄSTRA GÖTALANDS LÄN</t>
        </is>
      </c>
      <c r="G617" t="inlineStr">
        <is>
          <t>ULRICEHAMN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45086</v>
      </c>
      <c r="E618" s="1" t="n">
        <v>46300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46277</v>
      </c>
      <c r="E619" s="1" t="n">
        <v>46300</v>
      </c>
      <c r="F619" t="inlineStr">
        <is>
          <t>VÄSTRA GÖTALANDS LÄN</t>
        </is>
      </c>
      <c r="G619" t="inlineStr">
        <is>
          <t>ULRICEHAMN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39762-2024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46300</v>
      </c>
      <c r="F620" t="inlineStr">
        <is>
          <t>VÄSTRA GÖTALANDS LÄN</t>
        </is>
      </c>
      <c r="G620" t="inlineStr">
        <is>
          <t>ULRICEHAMN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46300</v>
      </c>
      <c r="F621" t="inlineStr">
        <is>
          <t>VÄSTRA GÖTALANDS LÄN</t>
        </is>
      </c>
      <c r="G621" t="inlineStr">
        <is>
          <t>ULRICEHAMN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45139</v>
      </c>
      <c r="E622" s="1" t="n">
        <v>46300</v>
      </c>
      <c r="F622" t="inlineStr">
        <is>
          <t>VÄSTRA GÖTALANDS LÄN</t>
        </is>
      </c>
      <c r="G622" t="inlineStr">
        <is>
          <t>ULRICEHAMN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46300</v>
      </c>
      <c r="F623" t="inlineStr">
        <is>
          <t>VÄSTRA GÖTALANDS LÄN</t>
        </is>
      </c>
      <c r="G623" t="inlineStr">
        <is>
          <t>ULRICEHAMN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46300</v>
      </c>
      <c r="F624" t="inlineStr">
        <is>
          <t>VÄSTRA GÖTALANDS LÄN</t>
        </is>
      </c>
      <c r="G624" t="inlineStr">
        <is>
          <t>ULRICEHAMN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46245</v>
      </c>
      <c r="E625" s="1" t="n">
        <v>46300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45379</v>
      </c>
      <c r="E626" s="1" t="n">
        <v>46300</v>
      </c>
      <c r="F626" t="inlineStr">
        <is>
          <t>VÄSTRA GÖTALANDS LÄN</t>
        </is>
      </c>
      <c r="G626" t="inlineStr">
        <is>
          <t>ULRICEHAMN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24922-2024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45461</v>
      </c>
      <c r="E627" s="1" t="n">
        <v>46300</v>
      </c>
      <c r="F627" t="inlineStr">
        <is>
          <t>VÄSTRA GÖTALANDS LÄN</t>
        </is>
      </c>
      <c r="G627" t="inlineStr">
        <is>
          <t>ULRICEHAMN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45573</v>
      </c>
      <c r="E628" s="1" t="n">
        <v>46300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45598</v>
      </c>
      <c r="E629" s="1" t="n">
        <v>46300</v>
      </c>
      <c r="F629" t="inlineStr">
        <is>
          <t>VÄSTRA GÖTALANDS LÄN</t>
        </is>
      </c>
      <c r="G629" t="inlineStr">
        <is>
          <t>ULRICEHAMN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46300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16895-2023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45033</v>
      </c>
      <c r="E631" s="1" t="n">
        <v>46300</v>
      </c>
      <c r="F631" t="inlineStr">
        <is>
          <t>VÄSTRA GÖTALANDS LÄN</t>
        </is>
      </c>
      <c r="G631" t="inlineStr">
        <is>
          <t>ULRICEHAMN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46300</v>
      </c>
      <c r="F632" t="inlineStr">
        <is>
          <t>VÄSTRA GÖTALANDS LÄN</t>
        </is>
      </c>
      <c r="G632" t="inlineStr">
        <is>
          <t>ULRICEHAMN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46300</v>
      </c>
      <c r="F633" t="inlineStr">
        <is>
          <t>VÄSTRA GÖTALANDS LÄN</t>
        </is>
      </c>
      <c r="G633" t="inlineStr">
        <is>
          <t>ULRICEHAMN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46300</v>
      </c>
      <c r="F634" t="inlineStr">
        <is>
          <t>VÄSTRA GÖTALANDS LÄN</t>
        </is>
      </c>
      <c r="G634" t="inlineStr">
        <is>
          <t>ULRICEHAMN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45377</v>
      </c>
      <c r="E635" s="1" t="n">
        <v>46300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45377</v>
      </c>
      <c r="E636" s="1" t="n">
        <v>46300</v>
      </c>
      <c r="F636" t="inlineStr">
        <is>
          <t>VÄSTRA GÖTALANDS LÄN</t>
        </is>
      </c>
      <c r="G636" t="inlineStr">
        <is>
          <t>ULRICEHAMN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46300</v>
      </c>
      <c r="F637" t="inlineStr">
        <is>
          <t>VÄSTRA GÖTALANDS LÄN</t>
        </is>
      </c>
      <c r="G637" t="inlineStr">
        <is>
          <t>ULRICEHAMN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46300</v>
      </c>
      <c r="F638" t="inlineStr">
        <is>
          <t>VÄSTRA GÖTALANDS LÄN</t>
        </is>
      </c>
      <c r="G638" t="inlineStr">
        <is>
          <t>ULRICEHAMN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46300</v>
      </c>
      <c r="F639" t="inlineStr">
        <is>
          <t>VÄSTRA GÖTALANDS LÄN</t>
        </is>
      </c>
      <c r="G639" t="inlineStr">
        <is>
          <t>ULRICEHAMN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46247</v>
      </c>
      <c r="E640" s="1" t="n">
        <v>46300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48196-2022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44858</v>
      </c>
      <c r="E641" s="1" t="n">
        <v>46300</v>
      </c>
      <c r="F641" t="inlineStr">
        <is>
          <t>VÄSTRA GÖTALANDS LÄN</t>
        </is>
      </c>
      <c r="G641" t="inlineStr">
        <is>
          <t>ULRICEHAMN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9879-2024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45363</v>
      </c>
      <c r="E642" s="1" t="n">
        <v>46300</v>
      </c>
      <c r="F642" t="inlineStr">
        <is>
          <t>VÄSTRA GÖTALANDS LÄN</t>
        </is>
      </c>
      <c r="G642" t="inlineStr">
        <is>
          <t>ULRICEHAMN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46300</v>
      </c>
      <c r="F643" t="inlineStr">
        <is>
          <t>VÄSTRA GÖTALANDS LÄN</t>
        </is>
      </c>
      <c r="G643" t="inlineStr">
        <is>
          <t>ULRICEHAMN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48242-2024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45590</v>
      </c>
      <c r="E644" s="1" t="n">
        <v>46300</v>
      </c>
      <c r="F644" t="inlineStr">
        <is>
          <t>VÄSTRA GÖTALANDS LÄN</t>
        </is>
      </c>
      <c r="G644" t="inlineStr">
        <is>
          <t>ULRICEHAMN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40277-2026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46294</v>
      </c>
      <c r="E645" s="1" t="n">
        <v>46300</v>
      </c>
      <c r="F645" t="inlineStr">
        <is>
          <t>VÄSTRA GÖTALANDS LÄN</t>
        </is>
      </c>
      <c r="G645" t="inlineStr">
        <is>
          <t>ULRICEHAMN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45573</v>
      </c>
      <c r="E646" s="1" t="n">
        <v>46300</v>
      </c>
      <c r="F646" t="inlineStr">
        <is>
          <t>VÄSTRA GÖTALANDS LÄN</t>
        </is>
      </c>
      <c r="G646" t="inlineStr">
        <is>
          <t>ULRICEHAMN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45227</v>
      </c>
      <c r="E647" s="1" t="n">
        <v>46300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43943-2023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46300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45257</v>
      </c>
      <c r="E649" s="1" t="n">
        <v>46300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49466-2025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45939</v>
      </c>
      <c r="E650" s="1" t="n">
        <v>46300</v>
      </c>
      <c r="F650" t="inlineStr">
        <is>
          <t>VÄSTRA GÖTALANDS LÄN</t>
        </is>
      </c>
      <c r="G650" t="inlineStr">
        <is>
          <t>ULRICEHAMN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45691</v>
      </c>
      <c r="E651" s="1" t="n">
        <v>46300</v>
      </c>
      <c r="F651" t="inlineStr">
        <is>
          <t>VÄSTRA GÖTALANDS LÄN</t>
        </is>
      </c>
      <c r="G651" t="inlineStr">
        <is>
          <t>ULRICEHAMN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46300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45408</v>
      </c>
      <c r="E653" s="1" t="n">
        <v>46300</v>
      </c>
      <c r="F653" t="inlineStr">
        <is>
          <t>VÄSTRA GÖTALANDS LÄN</t>
        </is>
      </c>
      <c r="G653" t="inlineStr">
        <is>
          <t>ULRICEHAMN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46297</v>
      </c>
      <c r="E654" s="1" t="n">
        <v>46300</v>
      </c>
      <c r="F654" t="inlineStr">
        <is>
          <t>VÄSTRA GÖTALANDS LÄN</t>
        </is>
      </c>
      <c r="G654" t="inlineStr">
        <is>
          <t>ULRICEHAMN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46255</v>
      </c>
      <c r="E655" s="1" t="n">
        <v>46300</v>
      </c>
      <c r="F655" t="inlineStr">
        <is>
          <t>VÄSTRA GÖTALANDS LÄN</t>
        </is>
      </c>
      <c r="G655" t="inlineStr">
        <is>
          <t>ULRICEHAMN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45332</v>
      </c>
      <c r="E656" s="1" t="n">
        <v>46300</v>
      </c>
      <c r="F656" t="inlineStr">
        <is>
          <t>VÄSTRA GÖTALANDS LÄN</t>
        </is>
      </c>
      <c r="G656" t="inlineStr">
        <is>
          <t>ULRICEHAMN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46300</v>
      </c>
      <c r="F657" t="inlineStr">
        <is>
          <t>VÄSTRA GÖTALANDS LÄN</t>
        </is>
      </c>
      <c r="G657" t="inlineStr">
        <is>
          <t>ULRICEHAMN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34497-2026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46300</v>
      </c>
      <c r="F658" t="inlineStr">
        <is>
          <t>VÄSTRA GÖTALANDS LÄN</t>
        </is>
      </c>
      <c r="G658" t="inlineStr">
        <is>
          <t>ULRICEHAMN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46300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40886-2026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46297</v>
      </c>
      <c r="E660" s="1" t="n">
        <v>46300</v>
      </c>
      <c r="F660" t="inlineStr">
        <is>
          <t>VÄSTRA GÖTALANDS LÄN</t>
        </is>
      </c>
      <c r="G660" t="inlineStr">
        <is>
          <t>ULRICEHAMN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34278-2026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46300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46300</v>
      </c>
      <c r="F662" t="inlineStr">
        <is>
          <t>VÄSTRA GÖTALANDS LÄN</t>
        </is>
      </c>
      <c r="G662" t="inlineStr">
        <is>
          <t>ULRICEHAMN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5066-2022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44593</v>
      </c>
      <c r="E663" s="1" t="n">
        <v>46300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56295-2023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45242</v>
      </c>
      <c r="E664" s="1" t="n">
        <v>46300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44810</v>
      </c>
      <c r="E665" s="1" t="n">
        <v>46300</v>
      </c>
      <c r="F665" t="inlineStr">
        <is>
          <t>VÄSTRA GÖTALANDS LÄN</t>
        </is>
      </c>
      <c r="G665" t="inlineStr">
        <is>
          <t>ULRICEHAMN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19038-2024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46300</v>
      </c>
      <c r="F666" t="inlineStr">
        <is>
          <t>VÄSTRA GÖTALANDS LÄN</t>
        </is>
      </c>
      <c r="G666" t="inlineStr">
        <is>
          <t>ULRICEHAMN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46300</v>
      </c>
      <c r="F667" t="inlineStr">
        <is>
          <t>VÄSTRA GÖTALANDS LÄN</t>
        </is>
      </c>
      <c r="G667" t="inlineStr">
        <is>
          <t>ULRICEHAMN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45098</v>
      </c>
      <c r="E668" s="1" t="n">
        <v>46300</v>
      </c>
      <c r="F668" t="inlineStr">
        <is>
          <t>VÄSTRA GÖTALANDS LÄN</t>
        </is>
      </c>
      <c r="G668" t="inlineStr">
        <is>
          <t>ULRICEHAMN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45272</v>
      </c>
      <c r="E669" s="1" t="n">
        <v>46300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25070-2023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45086</v>
      </c>
      <c r="E670" s="1" t="n">
        <v>46300</v>
      </c>
      <c r="F670" t="inlineStr">
        <is>
          <t>VÄSTRA GÖTALANDS LÄN</t>
        </is>
      </c>
      <c r="G670" t="inlineStr">
        <is>
          <t>ULRICEHAMN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44565</v>
      </c>
      <c r="E671" s="1" t="n">
        <v>46300</v>
      </c>
      <c r="F671" t="inlineStr">
        <is>
          <t>VÄSTRA GÖTALANDS LÄN</t>
        </is>
      </c>
      <c r="G671" t="inlineStr">
        <is>
          <t>ULRICEHAMN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51392-2024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45604</v>
      </c>
      <c r="E672" s="1" t="n">
        <v>46300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46300</v>
      </c>
      <c r="F673" t="inlineStr">
        <is>
          <t>VÄSTRA GÖTALANDS LÄN</t>
        </is>
      </c>
      <c r="G673" t="inlineStr">
        <is>
          <t>ULRICEHAMN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12934-2022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44642</v>
      </c>
      <c r="E674" s="1" t="n">
        <v>46300</v>
      </c>
      <c r="F674" t="inlineStr">
        <is>
          <t>VÄSTRA GÖTALANDS LÄN</t>
        </is>
      </c>
      <c r="G674" t="inlineStr">
        <is>
          <t>ULRICEHAMN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45273</v>
      </c>
      <c r="E675" s="1" t="n">
        <v>46300</v>
      </c>
      <c r="F675" t="inlineStr">
        <is>
          <t>VÄSTRA GÖTALANDS LÄN</t>
        </is>
      </c>
      <c r="G675" t="inlineStr">
        <is>
          <t>ULRICEHAMN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45059</v>
      </c>
      <c r="E676" s="1" t="n">
        <v>46300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20891-2023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45059</v>
      </c>
      <c r="E677" s="1" t="n">
        <v>46300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40031-2023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45168</v>
      </c>
      <c r="E678" s="1" t="n">
        <v>46300</v>
      </c>
      <c r="F678" t="inlineStr">
        <is>
          <t>VÄSTRA GÖTALANDS LÄN</t>
        </is>
      </c>
      <c r="G678" t="inlineStr">
        <is>
          <t>ULRICEHAMN</t>
        </is>
      </c>
      <c r="I678" t="n">
        <v>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40035-2023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45168</v>
      </c>
      <c r="E679" s="1" t="n">
        <v>46300</v>
      </c>
      <c r="F679" t="inlineStr">
        <is>
          <t>VÄSTRA GÖTALANDS LÄN</t>
        </is>
      </c>
      <c r="G679" t="inlineStr">
        <is>
          <t>ULRICEHAMN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45038</v>
      </c>
      <c r="E680" s="1" t="n">
        <v>46300</v>
      </c>
      <c r="F680" t="inlineStr">
        <is>
          <t>VÄSTRA GÖTALANDS LÄN</t>
        </is>
      </c>
      <c r="G680" t="inlineStr">
        <is>
          <t>ULRICEHAMN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59985-2022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46300</v>
      </c>
      <c r="F681" t="inlineStr">
        <is>
          <t>VÄSTRA GÖTALANDS LÄN</t>
        </is>
      </c>
      <c r="G681" t="inlineStr">
        <is>
          <t>ULRICEHAMN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46300</v>
      </c>
      <c r="F682" t="inlineStr">
        <is>
          <t>VÄSTRA GÖTALANDS LÄN</t>
        </is>
      </c>
      <c r="G682" t="inlineStr">
        <is>
          <t>ULRICEHAMN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45745</v>
      </c>
      <c r="E683" s="1" t="n">
        <v>46300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45225</v>
      </c>
      <c r="E684" s="1" t="n">
        <v>46300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6853-2023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46300</v>
      </c>
      <c r="F685" t="inlineStr">
        <is>
          <t>VÄSTRA GÖTALANDS LÄN</t>
        </is>
      </c>
      <c r="G685" t="inlineStr">
        <is>
          <t>ULRICEHAMN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44967</v>
      </c>
      <c r="E686" s="1" t="n">
        <v>46300</v>
      </c>
      <c r="F686" t="inlineStr">
        <is>
          <t>VÄSTRA GÖTALANDS LÄN</t>
        </is>
      </c>
      <c r="G686" t="inlineStr">
        <is>
          <t>ULRICEHAMN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60409-2024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46300</v>
      </c>
      <c r="F687" t="inlineStr">
        <is>
          <t>VÄSTRA GÖTALANDS LÄN</t>
        </is>
      </c>
      <c r="G687" t="inlineStr">
        <is>
          <t>ULRICEHAMN</t>
        </is>
      </c>
      <c r="I687" t="n">
        <v>10.7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45041</v>
      </c>
      <c r="E688" s="1" t="n">
        <v>46300</v>
      </c>
      <c r="F688" t="inlineStr">
        <is>
          <t>VÄSTRA GÖTALANDS LÄN</t>
        </is>
      </c>
      <c r="G688" t="inlineStr">
        <is>
          <t>ULRICEHAMN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44497</v>
      </c>
      <c r="E689" s="1" t="n">
        <v>46300</v>
      </c>
      <c r="F689" t="inlineStr">
        <is>
          <t>VÄSTRA GÖTALANDS LÄN</t>
        </is>
      </c>
      <c r="G689" t="inlineStr">
        <is>
          <t>ULRICEHAMN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45090</v>
      </c>
      <c r="E690" s="1" t="n">
        <v>46300</v>
      </c>
      <c r="F690" t="inlineStr">
        <is>
          <t>VÄSTRA GÖTALANDS LÄN</t>
        </is>
      </c>
      <c r="G690" t="inlineStr">
        <is>
          <t>ULRICEHAMN</t>
        </is>
      </c>
      <c r="I690" t="n">
        <v>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44672</v>
      </c>
      <c r="E691" s="1" t="n">
        <v>46300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48986-2023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45209</v>
      </c>
      <c r="E692" s="1" t="n">
        <v>46300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44613</v>
      </c>
      <c r="E693" s="1" t="n">
        <v>46300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46300</v>
      </c>
      <c r="F694" t="inlineStr">
        <is>
          <t>VÄSTRA GÖTALANDS LÄN</t>
        </is>
      </c>
      <c r="G694" t="inlineStr">
        <is>
          <t>ULRICEHAMN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45158</v>
      </c>
      <c r="E695" s="1" t="n">
        <v>46300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19093-2024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45428</v>
      </c>
      <c r="E696" s="1" t="n">
        <v>46300</v>
      </c>
      <c r="F696" t="inlineStr">
        <is>
          <t>VÄSTRA GÖTALANDS LÄN</t>
        </is>
      </c>
      <c r="G696" t="inlineStr">
        <is>
          <t>ULRICEHAMN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22304-2023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46300</v>
      </c>
      <c r="F697" t="inlineStr">
        <is>
          <t>VÄSTRA GÖTALANDS LÄN</t>
        </is>
      </c>
      <c r="G697" t="inlineStr">
        <is>
          <t>ULRICEHAMN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45471</v>
      </c>
      <c r="E698" s="1" t="n">
        <v>46300</v>
      </c>
      <c r="F698" t="inlineStr">
        <is>
          <t>VÄSTRA GÖTALANDS LÄN</t>
        </is>
      </c>
      <c r="G698" t="inlineStr">
        <is>
          <t>ULRICEHAMN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46300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44488</v>
      </c>
      <c r="E700" s="1" t="n">
        <v>46300</v>
      </c>
      <c r="F700" t="inlineStr">
        <is>
          <t>VÄSTRA GÖTALANDS LÄN</t>
        </is>
      </c>
      <c r="G700" t="inlineStr">
        <is>
          <t>ULRICEHAMN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14911-2023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45015</v>
      </c>
      <c r="E701" s="1" t="n">
        <v>46300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22715-2023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46300</v>
      </c>
      <c r="F702" t="inlineStr">
        <is>
          <t>VÄSTRA GÖTALANDS LÄN</t>
        </is>
      </c>
      <c r="G702" t="inlineStr">
        <is>
          <t>ULRICEHAMN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46300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46300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45785</v>
      </c>
      <c r="E705" s="1" t="n">
        <v>46300</v>
      </c>
      <c r="F705" t="inlineStr">
        <is>
          <t>VÄSTRA GÖTALANDS LÄN</t>
        </is>
      </c>
      <c r="G705" t="inlineStr">
        <is>
          <t>ULRICEHAMN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22110-2025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45785</v>
      </c>
      <c r="E706" s="1" t="n">
        <v>46300</v>
      </c>
      <c r="F706" t="inlineStr">
        <is>
          <t>VÄSTRA GÖTALANDS LÄN</t>
        </is>
      </c>
      <c r="G706" t="inlineStr">
        <is>
          <t>ULRICEHAMN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45412</v>
      </c>
      <c r="E707" s="1" t="n">
        <v>46300</v>
      </c>
      <c r="F707" t="inlineStr">
        <is>
          <t>VÄSTRA GÖTALANDS LÄN</t>
        </is>
      </c>
      <c r="G707" t="inlineStr">
        <is>
          <t>ULRICEHAMN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46300</v>
      </c>
      <c r="F708" t="inlineStr">
        <is>
          <t>VÄSTRA GÖTALANDS LÄN</t>
        </is>
      </c>
      <c r="G708" t="inlineStr">
        <is>
          <t>ULRICEHAMN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46300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46300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46300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46300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46300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46300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46300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46300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46300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46300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46300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2026-10-05T01:51:37Z</dcterms:created>
  <dcterms:modified xmlns:dcterms="http://purl.org/dc/terms/" xmlns:xsi="http://www.w3.org/2001/XMLSchema-instance" xsi:type="dcterms:W3CDTF">2026-10-05T01:51:37Z</dcterms:modified>
</cp:coreProperties>
</file>