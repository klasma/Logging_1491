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1724-2019</t>
        </is>
      </c>
      <c r="B2" s="1" t="n">
        <v>43462</v>
      </c>
      <c r="C2" s="1" t="n">
        <v>45364</v>
      </c>
      <c r="D2" t="inlineStr">
        <is>
          <t>VÄSTRA GÖTALANDS LÄN</t>
        </is>
      </c>
      <c r="E2" t="inlineStr">
        <is>
          <t>ULRICEHAMN</t>
        </is>
      </c>
      <c r="G2" t="n">
        <v>3.4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Björktrast
Enkelbeckasin
Grönsiska
Kungsfågel</t>
        </is>
      </c>
      <c r="S2">
        <f>HYPERLINK("https://klasma.github.io/Logging_1491/artfynd/A 1724-2019 artfynd.xlsx", "A 1724-2019")</f>
        <v/>
      </c>
      <c r="T2">
        <f>HYPERLINK("https://klasma.github.io/Logging_1491/kartor/A 1724-2019 karta.png", "A 1724-2019")</f>
        <v/>
      </c>
      <c r="V2">
        <f>HYPERLINK("https://klasma.github.io/Logging_1491/klagomål/A 1724-2019 FSC-klagomål.docx", "A 1724-2019")</f>
        <v/>
      </c>
      <c r="W2">
        <f>HYPERLINK("https://klasma.github.io/Logging_1491/klagomålsmail/A 1724-2019 FSC-klagomål mail.docx", "A 1724-2019")</f>
        <v/>
      </c>
      <c r="X2">
        <f>HYPERLINK("https://klasma.github.io/Logging_1491/tillsyn/A 1724-2019 tillsynsbegäran.docx", "A 1724-2019")</f>
        <v/>
      </c>
      <c r="Y2">
        <f>HYPERLINK("https://klasma.github.io/Logging_1491/tillsynsmail/A 1724-2019 tillsynsbegäran mail.docx", "A 1724-2019")</f>
        <v/>
      </c>
      <c r="Z2">
        <f>HYPERLINK("https://klasma.github.io/Logging_1491/fåglar/A 1724-2019 prioriterade fågelarter.docx", "A 1724-2019")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45364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45364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45364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45364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65688-2018</t>
        </is>
      </c>
      <c r="B7" s="1" t="n">
        <v>43433</v>
      </c>
      <c r="C7" s="1" t="n">
        <v>45364</v>
      </c>
      <c r="D7" t="inlineStr">
        <is>
          <t>VÄSTRA GÖTALANDS LÄN</t>
        </is>
      </c>
      <c r="E7" t="inlineStr">
        <is>
          <t>ULRICEHAMN</t>
        </is>
      </c>
      <c r="G7" t="n">
        <v>3.5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65688-2018 artfynd.xlsx", "A 65688-2018")</f>
        <v/>
      </c>
      <c r="T7">
        <f>HYPERLINK("https://klasma.github.io/Logging_1491/kartor/A 65688-2018 karta.png", "A 65688-2018")</f>
        <v/>
      </c>
      <c r="V7">
        <f>HYPERLINK("https://klasma.github.io/Logging_1491/klagomål/A 65688-2018 FSC-klagomål.docx", "A 65688-2018")</f>
        <v/>
      </c>
      <c r="W7">
        <f>HYPERLINK("https://klasma.github.io/Logging_1491/klagomålsmail/A 65688-2018 FSC-klagomål mail.docx", "A 65688-2018")</f>
        <v/>
      </c>
      <c r="X7">
        <f>HYPERLINK("https://klasma.github.io/Logging_1491/tillsyn/A 65688-2018 tillsynsbegäran.docx", "A 65688-2018")</f>
        <v/>
      </c>
      <c r="Y7">
        <f>HYPERLINK("https://klasma.github.io/Logging_1491/tillsynsmail/A 65688-2018 tillsynsbegäran mail.docx", "A 65688-2018")</f>
        <v/>
      </c>
    </row>
    <row r="8" ht="15" customHeight="1">
      <c r="A8" t="inlineStr">
        <is>
          <t>A 66936-2018</t>
        </is>
      </c>
      <c r="B8" s="1" t="n">
        <v>43438</v>
      </c>
      <c r="C8" s="1" t="n">
        <v>45364</v>
      </c>
      <c r="D8" t="inlineStr">
        <is>
          <t>VÄSTRA GÖTALANDS LÄN</t>
        </is>
      </c>
      <c r="E8" t="inlineStr">
        <is>
          <t>ULRICEHAMN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HYPERLINK("https://klasma.github.io/Logging_1491/artfynd/A 66936-2018 artfynd.xlsx", "A 66936-2018")</f>
        <v/>
      </c>
      <c r="T8">
        <f>HYPERLINK("https://klasma.github.io/Logging_1491/kartor/A 66936-2018 karta.png", "A 66936-2018")</f>
        <v/>
      </c>
      <c r="V8">
        <f>HYPERLINK("https://klasma.github.io/Logging_1491/klagomål/A 66936-2018 FSC-klagomål.docx", "A 66936-2018")</f>
        <v/>
      </c>
      <c r="W8">
        <f>HYPERLINK("https://klasma.github.io/Logging_1491/klagomålsmail/A 66936-2018 FSC-klagomål mail.docx", "A 66936-2018")</f>
        <v/>
      </c>
      <c r="X8">
        <f>HYPERLINK("https://klasma.github.io/Logging_1491/tillsyn/A 66936-2018 tillsynsbegäran.docx", "A 66936-2018")</f>
        <v/>
      </c>
      <c r="Y8">
        <f>HYPERLINK("https://klasma.github.io/Logging_1491/tillsynsmail/A 66936-2018 tillsynsbegäran mail.docx", "A 66936-2018")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45364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45364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45364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45364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45364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45364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45364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45364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45364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45364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45364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45364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45364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37480-2018</t>
        </is>
      </c>
      <c r="B22" s="1" t="n">
        <v>43334</v>
      </c>
      <c r="C22" s="1" t="n">
        <v>45364</v>
      </c>
      <c r="D22" t="inlineStr">
        <is>
          <t>VÄSTRA GÖTALANDS LÄN</t>
        </is>
      </c>
      <c r="E22" t="inlineStr">
        <is>
          <t>ULRICEHAMN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37649-2018</t>
        </is>
      </c>
      <c r="B23" s="1" t="n">
        <v>43334</v>
      </c>
      <c r="C23" s="1" t="n">
        <v>45364</v>
      </c>
      <c r="D23" t="inlineStr">
        <is>
          <t>VÄSTRA GÖTALANDS LÄN</t>
        </is>
      </c>
      <c r="E23" t="inlineStr">
        <is>
          <t>ULRICEHAMN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38374-2018</t>
        </is>
      </c>
      <c r="B24" s="1" t="n">
        <v>43339</v>
      </c>
      <c r="C24" s="1" t="n">
        <v>45364</v>
      </c>
      <c r="D24" t="inlineStr">
        <is>
          <t>VÄSTRA GÖTALANDS LÄN</t>
        </is>
      </c>
      <c r="E24" t="inlineStr">
        <is>
          <t>ULRICEHAMN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38594-2018</t>
        </is>
      </c>
      <c r="B25" s="1" t="n">
        <v>43339</v>
      </c>
      <c r="C25" s="1" t="n">
        <v>45364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40660-2018</t>
        </is>
      </c>
      <c r="B26" s="1" t="n">
        <v>43346</v>
      </c>
      <c r="C26" s="1" t="n">
        <v>45364</v>
      </c>
      <c r="D26" t="inlineStr">
        <is>
          <t>VÄSTRA GÖTALANDS LÄN</t>
        </is>
      </c>
      <c r="E26" t="inlineStr">
        <is>
          <t>ULRICEHAMN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41264-2018</t>
        </is>
      </c>
      <c r="B27" s="1" t="n">
        <v>43348</v>
      </c>
      <c r="C27" s="1" t="n">
        <v>45364</v>
      </c>
      <c r="D27" t="inlineStr">
        <is>
          <t>VÄSTRA GÖTALANDS LÄN</t>
        </is>
      </c>
      <c r="E27" t="inlineStr">
        <is>
          <t>ULRICEHAMN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41462-2018</t>
        </is>
      </c>
      <c r="B28" s="1" t="n">
        <v>43349</v>
      </c>
      <c r="C28" s="1" t="n">
        <v>45364</v>
      </c>
      <c r="D28" t="inlineStr">
        <is>
          <t>VÄSTRA GÖTALANDS LÄN</t>
        </is>
      </c>
      <c r="E28" t="inlineStr">
        <is>
          <t>ULRICEHAMN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41612-2018</t>
        </is>
      </c>
      <c r="B29" s="1" t="n">
        <v>43349</v>
      </c>
      <c r="C29" s="1" t="n">
        <v>45364</v>
      </c>
      <c r="D29" t="inlineStr">
        <is>
          <t>VÄSTRA GÖTALANDS LÄN</t>
        </is>
      </c>
      <c r="E29" t="inlineStr">
        <is>
          <t>ULRICEHAMN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42221-2018</t>
        </is>
      </c>
      <c r="B30" s="1" t="n">
        <v>43353</v>
      </c>
      <c r="C30" s="1" t="n">
        <v>45364</v>
      </c>
      <c r="D30" t="inlineStr">
        <is>
          <t>VÄSTRA GÖTALANDS LÄN</t>
        </is>
      </c>
      <c r="E30" t="inlineStr">
        <is>
          <t>ULRICEHAMN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43374-2018</t>
        </is>
      </c>
      <c r="B31" s="1" t="n">
        <v>43356</v>
      </c>
      <c r="C31" s="1" t="n">
        <v>45364</v>
      </c>
      <c r="D31" t="inlineStr">
        <is>
          <t>VÄSTRA GÖTALANDS LÄN</t>
        </is>
      </c>
      <c r="E31" t="inlineStr">
        <is>
          <t>ULRICEHAMN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43908-2018</t>
        </is>
      </c>
      <c r="B32" s="1" t="n">
        <v>43358</v>
      </c>
      <c r="C32" s="1" t="n">
        <v>45364</v>
      </c>
      <c r="D32" t="inlineStr">
        <is>
          <t>VÄSTRA GÖTALANDS LÄN</t>
        </is>
      </c>
      <c r="E32" t="inlineStr">
        <is>
          <t>ULRICEHAMN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44123-2018</t>
        </is>
      </c>
      <c r="B33" s="1" t="n">
        <v>43360</v>
      </c>
      <c r="C33" s="1" t="n">
        <v>45364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44935-2018</t>
        </is>
      </c>
      <c r="B34" s="1" t="n">
        <v>43362</v>
      </c>
      <c r="C34" s="1" t="n">
        <v>45364</v>
      </c>
      <c r="D34" t="inlineStr">
        <is>
          <t>VÄSTRA GÖTALANDS LÄN</t>
        </is>
      </c>
      <c r="E34" t="inlineStr">
        <is>
          <t>ULRICEHAMN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45264-2018</t>
        </is>
      </c>
      <c r="B35" s="1" t="n">
        <v>43363</v>
      </c>
      <c r="C35" s="1" t="n">
        <v>45364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49800-2018</t>
        </is>
      </c>
      <c r="B36" s="1" t="n">
        <v>43377</v>
      </c>
      <c r="C36" s="1" t="n">
        <v>45364</v>
      </c>
      <c r="D36" t="inlineStr">
        <is>
          <t>VÄSTRA GÖTALANDS LÄN</t>
        </is>
      </c>
      <c r="E36" t="inlineStr">
        <is>
          <t>ULRICEHAMN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52387-2018</t>
        </is>
      </c>
      <c r="B37" s="1" t="n">
        <v>43388</v>
      </c>
      <c r="C37" s="1" t="n">
        <v>45364</v>
      </c>
      <c r="D37" t="inlineStr">
        <is>
          <t>VÄSTRA GÖTALANDS LÄN</t>
        </is>
      </c>
      <c r="E37" t="inlineStr">
        <is>
          <t>ULRICEHAMN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53465-2018</t>
        </is>
      </c>
      <c r="B38" s="1" t="n">
        <v>43390</v>
      </c>
      <c r="C38" s="1" t="n">
        <v>45364</v>
      </c>
      <c r="D38" t="inlineStr">
        <is>
          <t>VÄSTRA GÖTALANDS LÄN</t>
        </is>
      </c>
      <c r="E38" t="inlineStr">
        <is>
          <t>ULRICEHAMN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54238-2018</t>
        </is>
      </c>
      <c r="B39" s="1" t="n">
        <v>43393</v>
      </c>
      <c r="C39" s="1" t="n">
        <v>45364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54239-2018</t>
        </is>
      </c>
      <c r="B40" s="1" t="n">
        <v>43393</v>
      </c>
      <c r="C40" s="1" t="n">
        <v>45364</v>
      </c>
      <c r="D40" t="inlineStr">
        <is>
          <t>VÄSTRA GÖTALANDS LÄN</t>
        </is>
      </c>
      <c r="E40" t="inlineStr">
        <is>
          <t>ULRICEHAMN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54471-2018</t>
        </is>
      </c>
      <c r="B41" s="1" t="n">
        <v>43395</v>
      </c>
      <c r="C41" s="1" t="n">
        <v>45364</v>
      </c>
      <c r="D41" t="inlineStr">
        <is>
          <t>VÄSTRA GÖTALANDS LÄN</t>
        </is>
      </c>
      <c r="E41" t="inlineStr">
        <is>
          <t>ULRICEHAMN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55964-2018</t>
        </is>
      </c>
      <c r="B42" s="1" t="n">
        <v>43398</v>
      </c>
      <c r="C42" s="1" t="n">
        <v>45364</v>
      </c>
      <c r="D42" t="inlineStr">
        <is>
          <t>VÄSTRA GÖTALANDS LÄN</t>
        </is>
      </c>
      <c r="E42" t="inlineStr">
        <is>
          <t>ULRICEHAMN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60266-2018</t>
        </is>
      </c>
      <c r="B43" s="1" t="n">
        <v>43412</v>
      </c>
      <c r="C43" s="1" t="n">
        <v>45364</v>
      </c>
      <c r="D43" t="inlineStr">
        <is>
          <t>VÄSTRA GÖTALANDS LÄN</t>
        </is>
      </c>
      <c r="E43" t="inlineStr">
        <is>
          <t>ULRICEHAMN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59395-2018</t>
        </is>
      </c>
      <c r="B44" s="1" t="n">
        <v>43418</v>
      </c>
      <c r="C44" s="1" t="n">
        <v>45364</v>
      </c>
      <c r="D44" t="inlineStr">
        <is>
          <t>VÄSTRA GÖTALANDS LÄN</t>
        </is>
      </c>
      <c r="E44" t="inlineStr">
        <is>
          <t>ULRICEHAMN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60533-2018</t>
        </is>
      </c>
      <c r="B45" s="1" t="n">
        <v>43420</v>
      </c>
      <c r="C45" s="1" t="n">
        <v>45364</v>
      </c>
      <c r="D45" t="inlineStr">
        <is>
          <t>VÄSTRA GÖTALANDS LÄN</t>
        </is>
      </c>
      <c r="E45" t="inlineStr">
        <is>
          <t>ULRICEHAMN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61700-2018</t>
        </is>
      </c>
      <c r="B46" s="1" t="n">
        <v>43425</v>
      </c>
      <c r="C46" s="1" t="n">
        <v>45364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65703-2018</t>
        </is>
      </c>
      <c r="B47" s="1" t="n">
        <v>43433</v>
      </c>
      <c r="C47" s="1" t="n">
        <v>45364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65746-2018</t>
        </is>
      </c>
      <c r="B48" s="1" t="n">
        <v>43433</v>
      </c>
      <c r="C48" s="1" t="n">
        <v>45364</v>
      </c>
      <c r="D48" t="inlineStr">
        <is>
          <t>VÄSTRA GÖTALANDS LÄN</t>
        </is>
      </c>
      <c r="E48" t="inlineStr">
        <is>
          <t>ULRICEHAMN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65617-2018</t>
        </is>
      </c>
      <c r="B49" s="1" t="n">
        <v>43433</v>
      </c>
      <c r="C49" s="1" t="n">
        <v>45364</v>
      </c>
      <c r="D49" t="inlineStr">
        <is>
          <t>VÄSTRA GÖTALANDS LÄN</t>
        </is>
      </c>
      <c r="E49" t="inlineStr">
        <is>
          <t>ULRICEHAMN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65492-2018</t>
        </is>
      </c>
      <c r="B50" s="1" t="n">
        <v>43433</v>
      </c>
      <c r="C50" s="1" t="n">
        <v>45364</v>
      </c>
      <c r="D50" t="inlineStr">
        <is>
          <t>VÄSTRA GÖTALANDS LÄN</t>
        </is>
      </c>
      <c r="E50" t="inlineStr">
        <is>
          <t>ULRICEHAMN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66049-2018</t>
        </is>
      </c>
      <c r="B51" s="1" t="n">
        <v>43434</v>
      </c>
      <c r="C51" s="1" t="n">
        <v>45364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66353-2018</t>
        </is>
      </c>
      <c r="B52" s="1" t="n">
        <v>43436</v>
      </c>
      <c r="C52" s="1" t="n">
        <v>45364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66803-2018</t>
        </is>
      </c>
      <c r="B53" s="1" t="n">
        <v>43437</v>
      </c>
      <c r="C53" s="1" t="n">
        <v>45364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67108-2018</t>
        </is>
      </c>
      <c r="B54" s="1" t="n">
        <v>43438</v>
      </c>
      <c r="C54" s="1" t="n">
        <v>45364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68478-2018</t>
        </is>
      </c>
      <c r="B55" s="1" t="n">
        <v>43442</v>
      </c>
      <c r="C55" s="1" t="n">
        <v>45364</v>
      </c>
      <c r="D55" t="inlineStr">
        <is>
          <t>VÄSTRA GÖTALANDS LÄN</t>
        </is>
      </c>
      <c r="E55" t="inlineStr">
        <is>
          <t>ULRICEHAMN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70656-2018</t>
        </is>
      </c>
      <c r="B56" s="1" t="n">
        <v>43451</v>
      </c>
      <c r="C56" s="1" t="n">
        <v>45364</v>
      </c>
      <c r="D56" t="inlineStr">
        <is>
          <t>VÄSTRA GÖTALANDS LÄN</t>
        </is>
      </c>
      <c r="E56" t="inlineStr">
        <is>
          <t>ULRICEHAMN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71748-2018</t>
        </is>
      </c>
      <c r="B57" s="1" t="n">
        <v>43454</v>
      </c>
      <c r="C57" s="1" t="n">
        <v>45364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45364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45364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45364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45364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45364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45364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45364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45364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45364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45364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45364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45364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45364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45364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45364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45364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45364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45364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45364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45364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45364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45364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45364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45364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45364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45364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45364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45364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45364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45364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45364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45364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45364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45364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45364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45364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45364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45364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45364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45364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45364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45364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45364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45364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45364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45364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45364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45364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45364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45364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45364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45364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45364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45364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45364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45364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45364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45364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45364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45364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45364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45364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45364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45364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45364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45364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45364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45364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45364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45364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45364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45364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45364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45364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45364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45364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45364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45364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45364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45364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45364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45364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45364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45364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45364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45364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45364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45364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45364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45364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45364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45364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45364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45364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45364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45364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45364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45364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45364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45364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45364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45364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45364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45364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45364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45364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45364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45364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45364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45364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45364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45364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45364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45364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45364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45364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45364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45364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45364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45364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45364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45364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45364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45364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45364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45364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45364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45364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45364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45364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45364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45364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45364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45364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45364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45364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45364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45364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45364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45364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45364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45364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45364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45364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45364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45364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45364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45364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45364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45364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45364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45364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45364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45364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45364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45364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45364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45364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45364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45364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45364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45364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45364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45364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45364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45364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45364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45364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45364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45364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45364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45364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45364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45364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45364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45364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45364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45364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45364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45364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45364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45364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45364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45364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45364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45364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45364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45364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45364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45364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45364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45364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45364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45364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45364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45364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45364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45364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45364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45364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45364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45364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45364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45364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45364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45364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45364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45364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45364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45364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45364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45364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45364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45364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45364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45364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45364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45364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45364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45364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45364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45364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45364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45364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45364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45364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45364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45364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45364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45364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45364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45364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45364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45364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45364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45364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45364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45364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45364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45364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45364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45364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45364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45364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45364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45364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45364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45364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45364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45364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45364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45364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45364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45364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45364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45364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45364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45364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45364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45364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45364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45364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45364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45364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45364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45364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45364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45364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45364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45364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45364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45364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45364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45364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45364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45364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45364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45364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45364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45364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45364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45364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45364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45364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45364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45364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45364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45364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45364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45364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45364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45364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45364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45364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45364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45364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45364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45364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45364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45364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45364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45364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45364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45364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45364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45364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45364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45364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45364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45364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45364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45364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45364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45364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45364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45364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45364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45364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45364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45364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45364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45364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45364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45364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45364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45364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45364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45364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45364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45364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45364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45364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45364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45364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45364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45364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45364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45364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45364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45364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45364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45364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45364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45364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45364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45364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45364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45364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45364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45364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45364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45364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45364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45364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45364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45364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45364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45364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45364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45364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45364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45364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45364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45364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45364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45364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45364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45364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45364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45364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45364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45364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45364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45364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45364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45364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45364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45364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45364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45364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45364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45364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45364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45364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45364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45364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45364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45364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45364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45364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45364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45364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45364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45364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45364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45364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45364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45364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45364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45364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45364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45364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45364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45364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45364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45364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45364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45364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45364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45364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45364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45364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45364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45364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45364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45364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45364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45364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45364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45364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45364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45364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45364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45364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45364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45364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45364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45364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45364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45364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45364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45364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45364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45364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45364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45364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45364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45364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45364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45364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45364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45364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45364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45364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45364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45364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45364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45364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45364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45364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45364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45364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45364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45364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45364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45364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45364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45364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45364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45364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45364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45364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45364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45364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45364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45364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45364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45364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45364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45364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45364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45364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45364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45364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45364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45364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45364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45364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45364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45364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45364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45364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45364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45364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45364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45364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45364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45364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45364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45364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45364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45364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45364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45364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45364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45364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45364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45364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45364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45364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45364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45364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45364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45364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45364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45364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45364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45364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45364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45364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45364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45364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45364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45364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45364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45364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45364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45364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45364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45364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45364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45364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45364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45364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45364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45364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45364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45364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45364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45364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45364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45364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45364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45364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45364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45364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45364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45364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45364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45364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45364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45364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45364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45364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45364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45364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45364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45364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45364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45364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45364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45364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45364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45364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45364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45364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45364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45364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45364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45364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45364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45364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45364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45364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45364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45364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45364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45364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45364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45364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45364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45364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45364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45364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45364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45364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45364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45364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45364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45364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45364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45364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45364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45364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45364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45364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45364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45364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45364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45364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45364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45364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45364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45364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45364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45364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45364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45364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45364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45364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45364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45364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45364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45364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45364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45364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45364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45364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45364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45364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45364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45364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45364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45364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45364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45364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45364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45364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45364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45364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45364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45364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45364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45364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45364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45364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45364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45364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45364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45364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45364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45364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45364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45364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45364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45364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45364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45364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45364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45364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45364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45364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45364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45364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45364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45364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45364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45364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45364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45364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45364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45364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45364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45364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45364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45364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45364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45364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45364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45364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45364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45364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45364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45364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45364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45364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45364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45364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45364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45364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45364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45364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45364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45364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45364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45364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45364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45364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45364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45364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45364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45364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45364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45364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45364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45364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45364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45364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45364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45364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45364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45364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45364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45364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45364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45364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45364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45364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45364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45364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45364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45364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45364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45364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45364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45364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45364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45364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45364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45364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45364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45364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45364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45364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45364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45364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45364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45364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45364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45364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45364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45364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45364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45364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45364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45364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45364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45364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45364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45364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45364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45364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45364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45364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45364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45364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45364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45364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45364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45364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45364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45364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45364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45364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45364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45364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45364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45364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45364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45364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45364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45364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45364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45364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45364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45364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45364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45364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45364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45364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45364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45364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45364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45364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45364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45364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45364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45364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45364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45364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45364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45364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45364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45364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45364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45364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45364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45364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45364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45364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45364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45364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45364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45364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45364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45364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45364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45364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45364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45364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45364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45364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45364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45364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45364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45364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45364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45364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45364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45364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45364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45364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45364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45364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45364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45364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45364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45364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45364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45364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45364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45364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45364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45364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45364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45364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45364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45364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45364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45364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45364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45364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45364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45364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45364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45364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45364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45364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45364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45364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45364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45364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45364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45364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45364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45364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45364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45364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45364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45364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45364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45364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45364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45364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45364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45364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45364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45364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45364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45364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45364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45364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45364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45364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45364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45364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45364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45364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45364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45364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45364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45364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45364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45364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45364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45364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45364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45364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45364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45364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45364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45364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45364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45364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45364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45364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45364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45364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45364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45364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45364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45364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45364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45364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45364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45364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45364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45364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45364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45364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45364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45364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45364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45364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45364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45364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45364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45364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45364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45364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45364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45364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45364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45364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45364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45364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45364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45364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45364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45364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45364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45364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45364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45364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45364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45364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45364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45364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45364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45364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45364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45364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45364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45364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45364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45364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45364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45364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45364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45364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45364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45364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45364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45364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45364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45364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45364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45364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45364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45364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45364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45364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45364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45364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45364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45364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45364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45364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45364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45364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45364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45364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45364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45364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45364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45364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45364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45364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45364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45364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45364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45364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45364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45364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45364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45364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45364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45364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45364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45364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45364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45364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45364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45364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45364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45364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45364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45364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45364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45364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45364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45364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45364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45364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45364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45364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45364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45364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45364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5471-2024</t>
        </is>
      </c>
      <c r="B1047" s="1" t="n">
        <v>45332</v>
      </c>
      <c r="C1047" s="1" t="n">
        <v>45364</v>
      </c>
      <c r="D1047" t="inlineStr">
        <is>
          <t>VÄSTRA GÖTALANDS LÄN</t>
        </is>
      </c>
      <c r="E1047" t="inlineStr">
        <is>
          <t>ULRICEHAMN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45364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45364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45364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45364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6928-2024</t>
        </is>
      </c>
      <c r="B1052" s="1" t="n">
        <v>45343</v>
      </c>
      <c r="C1052" s="1" t="n">
        <v>45364</v>
      </c>
      <c r="D1052" t="inlineStr">
        <is>
          <t>VÄSTRA GÖTALANDS LÄN</t>
        </is>
      </c>
      <c r="E1052" t="inlineStr">
        <is>
          <t>ULRICEHAMN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6989-2024</t>
        </is>
      </c>
      <c r="B1053" s="1" t="n">
        <v>45343</v>
      </c>
      <c r="C1053" s="1" t="n">
        <v>45364</v>
      </c>
      <c r="D1053" t="inlineStr">
        <is>
          <t>VÄSTRA GÖTALANDS LÄN</t>
        </is>
      </c>
      <c r="E1053" t="inlineStr">
        <is>
          <t>ULRICEHAMN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7094-2024</t>
        </is>
      </c>
      <c r="B1054" s="1" t="n">
        <v>45343</v>
      </c>
      <c r="C1054" s="1" t="n">
        <v>45364</v>
      </c>
      <c r="D1054" t="inlineStr">
        <is>
          <t>VÄSTRA GÖTALANDS LÄN</t>
        </is>
      </c>
      <c r="E1054" t="inlineStr">
        <is>
          <t>ULRICEHAMN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7095-2024</t>
        </is>
      </c>
      <c r="B1055" s="1" t="n">
        <v>45343</v>
      </c>
      <c r="C1055" s="1" t="n">
        <v>45364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7212-2024</t>
        </is>
      </c>
      <c r="B1056" s="1" t="n">
        <v>45344</v>
      </c>
      <c r="C1056" s="1" t="n">
        <v>45364</v>
      </c>
      <c r="D1056" t="inlineStr">
        <is>
          <t>VÄSTRA GÖTALANDS LÄN</t>
        </is>
      </c>
      <c r="E1056" t="inlineStr">
        <is>
          <t>ULRICEHAMN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7267-2024</t>
        </is>
      </c>
      <c r="B1057" s="1" t="n">
        <v>45344</v>
      </c>
      <c r="C1057" s="1" t="n">
        <v>45364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7533-2024</t>
        </is>
      </c>
      <c r="B1058" s="1" t="n">
        <v>45348</v>
      </c>
      <c r="C1058" s="1" t="n">
        <v>45364</v>
      </c>
      <c r="D1058" t="inlineStr">
        <is>
          <t>VÄSTRA GÖTALANDS LÄN</t>
        </is>
      </c>
      <c r="E1058" t="inlineStr">
        <is>
          <t>ULRICEHAMN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7532-2024</t>
        </is>
      </c>
      <c r="B1059" s="1" t="n">
        <v>45348</v>
      </c>
      <c r="C1059" s="1" t="n">
        <v>45364</v>
      </c>
      <c r="D1059" t="inlineStr">
        <is>
          <t>VÄSTRA GÖTALANDS LÄN</t>
        </is>
      </c>
      <c r="E1059" t="inlineStr">
        <is>
          <t>ULRICEHAMN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7627-2024</t>
        </is>
      </c>
      <c r="B1060" s="1" t="n">
        <v>45348</v>
      </c>
      <c r="C1060" s="1" t="n">
        <v>45364</v>
      </c>
      <c r="D1060" t="inlineStr">
        <is>
          <t>VÄSTRA GÖTALANDS LÄN</t>
        </is>
      </c>
      <c r="E1060" t="inlineStr">
        <is>
          <t>ULRICEHAMN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7622-2024</t>
        </is>
      </c>
      <c r="B1061" s="1" t="n">
        <v>45348</v>
      </c>
      <c r="C1061" s="1" t="n">
        <v>45364</v>
      </c>
      <c r="D1061" t="inlineStr">
        <is>
          <t>VÄSTRA GÖTALANDS LÄN</t>
        </is>
      </c>
      <c r="E1061" t="inlineStr">
        <is>
          <t>ULRICEHAMN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7918-2024</t>
        </is>
      </c>
      <c r="B1062" s="1" t="n">
        <v>45350</v>
      </c>
      <c r="C1062" s="1" t="n">
        <v>45364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7876-2024</t>
        </is>
      </c>
      <c r="B1063" s="1" t="n">
        <v>45350</v>
      </c>
      <c r="C1063" s="1" t="n">
        <v>45364</v>
      </c>
      <c r="D1063" t="inlineStr">
        <is>
          <t>VÄSTRA GÖTALANDS LÄN</t>
        </is>
      </c>
      <c r="E1063" t="inlineStr">
        <is>
          <t>ULRICEHAMN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8431-2024</t>
        </is>
      </c>
      <c r="B1064" s="1" t="n">
        <v>45353</v>
      </c>
      <c r="C1064" s="1" t="n">
        <v>45364</v>
      </c>
      <c r="D1064" t="inlineStr">
        <is>
          <t>VÄSTRA GÖTALANDS LÄN</t>
        </is>
      </c>
      <c r="E1064" t="inlineStr">
        <is>
          <t>ULRICEHAMN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8428-2024</t>
        </is>
      </c>
      <c r="B1065" s="1" t="n">
        <v>45353</v>
      </c>
      <c r="C1065" s="1" t="n">
        <v>45364</v>
      </c>
      <c r="D1065" t="inlineStr">
        <is>
          <t>VÄSTRA GÖTALANDS LÄN</t>
        </is>
      </c>
      <c r="E1065" t="inlineStr">
        <is>
          <t>ULRICEHAMN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8432-2024</t>
        </is>
      </c>
      <c r="B1066" s="1" t="n">
        <v>45353</v>
      </c>
      <c r="C1066" s="1" t="n">
        <v>45364</v>
      </c>
      <c r="D1066" t="inlineStr">
        <is>
          <t>VÄSTRA GÖTALANDS LÄN</t>
        </is>
      </c>
      <c r="E1066" t="inlineStr">
        <is>
          <t>ULRICEHAMN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8444-2024</t>
        </is>
      </c>
      <c r="B1067" s="1" t="n">
        <v>45354</v>
      </c>
      <c r="C1067" s="1" t="n">
        <v>45364</v>
      </c>
      <c r="D1067" t="inlineStr">
        <is>
          <t>VÄSTRA GÖTALANDS LÄN</t>
        </is>
      </c>
      <c r="E1067" t="inlineStr">
        <is>
          <t>ULRICEHAMN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8738-2024</t>
        </is>
      </c>
      <c r="B1068" s="1" t="n">
        <v>45356</v>
      </c>
      <c r="C1068" s="1" t="n">
        <v>45364</v>
      </c>
      <c r="D1068" t="inlineStr">
        <is>
          <t>VÄSTRA GÖTALANDS LÄN</t>
        </is>
      </c>
      <c r="E1068" t="inlineStr">
        <is>
          <t>ULRICEHAMN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8816-2024</t>
        </is>
      </c>
      <c r="B1069" s="1" t="n">
        <v>45356</v>
      </c>
      <c r="C1069" s="1" t="n">
        <v>45364</v>
      </c>
      <c r="D1069" t="inlineStr">
        <is>
          <t>VÄSTRA GÖTALANDS LÄN</t>
        </is>
      </c>
      <c r="E1069" t="inlineStr">
        <is>
          <t>ULRICEHAMN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8889-2024</t>
        </is>
      </c>
      <c r="B1070" s="1" t="n">
        <v>45357</v>
      </c>
      <c r="C1070" s="1" t="n">
        <v>45364</v>
      </c>
      <c r="D1070" t="inlineStr">
        <is>
          <t>VÄSTRA GÖTALANDS LÄN</t>
        </is>
      </c>
      <c r="E1070" t="inlineStr">
        <is>
          <t>ULRICEHAMN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8978-2024</t>
        </is>
      </c>
      <c r="B1071" s="1" t="n">
        <v>45357</v>
      </c>
      <c r="C1071" s="1" t="n">
        <v>45364</v>
      </c>
      <c r="D1071" t="inlineStr">
        <is>
          <t>VÄSTRA GÖTALANDS LÄN</t>
        </is>
      </c>
      <c r="E1071" t="inlineStr">
        <is>
          <t>ULRICEHAMN</t>
        </is>
      </c>
      <c r="F1071" t="inlineStr">
        <is>
          <t>Sveaskog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8982-2024</t>
        </is>
      </c>
      <c r="B1072" s="1" t="n">
        <v>45357</v>
      </c>
      <c r="C1072" s="1" t="n">
        <v>45364</v>
      </c>
      <c r="D1072" t="inlineStr">
        <is>
          <t>VÄSTRA GÖTALANDS LÄN</t>
        </is>
      </c>
      <c r="E1072" t="inlineStr">
        <is>
          <t>ULRICEHAMN</t>
        </is>
      </c>
      <c r="F1072" t="inlineStr">
        <is>
          <t>Sveaskog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8973-2024</t>
        </is>
      </c>
      <c r="B1073" s="1" t="n">
        <v>45357</v>
      </c>
      <c r="C1073" s="1" t="n">
        <v>45364</v>
      </c>
      <c r="D1073" t="inlineStr">
        <is>
          <t>VÄSTRA GÖTALANDS LÄN</t>
        </is>
      </c>
      <c r="E1073" t="inlineStr">
        <is>
          <t>ULRICEHAMN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8977-2024</t>
        </is>
      </c>
      <c r="B1074" s="1" t="n">
        <v>45357</v>
      </c>
      <c r="C1074" s="1" t="n">
        <v>45364</v>
      </c>
      <c r="D1074" t="inlineStr">
        <is>
          <t>VÄSTRA GÖTALANDS LÄN</t>
        </is>
      </c>
      <c r="E1074" t="inlineStr">
        <is>
          <t>ULRICEHAMN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8975-2024</t>
        </is>
      </c>
      <c r="B1075" s="1" t="n">
        <v>45357</v>
      </c>
      <c r="C1075" s="1" t="n">
        <v>45364</v>
      </c>
      <c r="D1075" t="inlineStr">
        <is>
          <t>VÄSTRA GÖTALANDS LÄN</t>
        </is>
      </c>
      <c r="E1075" t="inlineStr">
        <is>
          <t>ULRICEHAMN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8984-2024</t>
        </is>
      </c>
      <c r="B1076" s="1" t="n">
        <v>45357</v>
      </c>
      <c r="C1076" s="1" t="n">
        <v>45364</v>
      </c>
      <c r="D1076" t="inlineStr">
        <is>
          <t>VÄSTRA GÖTALANDS LÄN</t>
        </is>
      </c>
      <c r="E1076" t="inlineStr">
        <is>
          <t>ULRICEHAMN</t>
        </is>
      </c>
      <c r="F1076" t="inlineStr">
        <is>
          <t>Sveaskog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8980-2024</t>
        </is>
      </c>
      <c r="B1077" s="1" t="n">
        <v>45357</v>
      </c>
      <c r="C1077" s="1" t="n">
        <v>45364</v>
      </c>
      <c r="D1077" t="inlineStr">
        <is>
          <t>VÄSTRA GÖTALANDS LÄN</t>
        </is>
      </c>
      <c r="E1077" t="inlineStr">
        <is>
          <t>ULRICEHAMN</t>
        </is>
      </c>
      <c r="F1077" t="inlineStr">
        <is>
          <t>Sveaskog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8987-2024</t>
        </is>
      </c>
      <c r="B1078" s="1" t="n">
        <v>45357</v>
      </c>
      <c r="C1078" s="1" t="n">
        <v>45364</v>
      </c>
      <c r="D1078" t="inlineStr">
        <is>
          <t>VÄSTRA GÖTALANDS LÄN</t>
        </is>
      </c>
      <c r="E1078" t="inlineStr">
        <is>
          <t>ULRICEHAMN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9208-2024</t>
        </is>
      </c>
      <c r="B1079" s="1" t="n">
        <v>45357</v>
      </c>
      <c r="C1079" s="1" t="n">
        <v>45364</v>
      </c>
      <c r="D1079" t="inlineStr">
        <is>
          <t>VÄSTRA GÖTALANDS LÄN</t>
        </is>
      </c>
      <c r="E1079" t="inlineStr">
        <is>
          <t>ULRICEHAMN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9210-2024</t>
        </is>
      </c>
      <c r="B1080" s="1" t="n">
        <v>45358</v>
      </c>
      <c r="C1080" s="1" t="n">
        <v>45364</v>
      </c>
      <c r="D1080" t="inlineStr">
        <is>
          <t>VÄSTRA GÖTALANDS LÄN</t>
        </is>
      </c>
      <c r="E1080" t="inlineStr">
        <is>
          <t>ULRICEHAMN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9598-2024</t>
        </is>
      </c>
      <c r="B1081" s="1" t="n">
        <v>45361</v>
      </c>
      <c r="C1081" s="1" t="n">
        <v>45364</v>
      </c>
      <c r="D1081" t="inlineStr">
        <is>
          <t>VÄSTRA GÖTALANDS LÄN</t>
        </is>
      </c>
      <c r="E1081" t="inlineStr">
        <is>
          <t>ULRICEHAMN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9599-2024</t>
        </is>
      </c>
      <c r="B1082" s="1" t="n">
        <v>45361</v>
      </c>
      <c r="C1082" s="1" t="n">
        <v>45364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9754-2024</t>
        </is>
      </c>
      <c r="B1083" s="1" t="n">
        <v>45362</v>
      </c>
      <c r="C1083" s="1" t="n">
        <v>45364</v>
      </c>
      <c r="D1083" t="inlineStr">
        <is>
          <t>VÄSTRA GÖTALANDS LÄN</t>
        </is>
      </c>
      <c r="E1083" t="inlineStr">
        <is>
          <t>ULRICEHAMN</t>
        </is>
      </c>
      <c r="F1083" t="inlineStr">
        <is>
          <t>Sveaskog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9752-2024</t>
        </is>
      </c>
      <c r="B1084" s="1" t="n">
        <v>45362</v>
      </c>
      <c r="C1084" s="1" t="n">
        <v>45364</v>
      </c>
      <c r="D1084" t="inlineStr">
        <is>
          <t>VÄSTRA GÖTALANDS LÄN</t>
        </is>
      </c>
      <c r="E1084" t="inlineStr">
        <is>
          <t>ULRICEHAMN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9761-2024</t>
        </is>
      </c>
      <c r="B1085" s="1" t="n">
        <v>45362</v>
      </c>
      <c r="C1085" s="1" t="n">
        <v>45364</v>
      </c>
      <c r="D1085" t="inlineStr">
        <is>
          <t>VÄSTRA GÖTALANDS LÄN</t>
        </is>
      </c>
      <c r="E1085" t="inlineStr">
        <is>
          <t>ULRICEHAMN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9751-2024</t>
        </is>
      </c>
      <c r="B1086" s="1" t="n">
        <v>45362</v>
      </c>
      <c r="C1086" s="1" t="n">
        <v>45364</v>
      </c>
      <c r="D1086" t="inlineStr">
        <is>
          <t>VÄSTRA GÖTALANDS LÄN</t>
        </is>
      </c>
      <c r="E1086" t="inlineStr">
        <is>
          <t>ULRICEHAMN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9763-2024</t>
        </is>
      </c>
      <c r="B1087" s="1" t="n">
        <v>45362</v>
      </c>
      <c r="C1087" s="1" t="n">
        <v>45364</v>
      </c>
      <c r="D1087" t="inlineStr">
        <is>
          <t>VÄSTRA GÖTALANDS LÄN</t>
        </is>
      </c>
      <c r="E1087" t="inlineStr">
        <is>
          <t>ULRICEHAMN</t>
        </is>
      </c>
      <c r="F1087" t="inlineStr">
        <is>
          <t>Sveaskog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9994-2024</t>
        </is>
      </c>
      <c r="B1088" s="1" t="n">
        <v>45363</v>
      </c>
      <c r="C1088" s="1" t="n">
        <v>45364</v>
      </c>
      <c r="D1088" t="inlineStr">
        <is>
          <t>VÄSTRA GÖTALANDS LÄN</t>
        </is>
      </c>
      <c r="E1088" t="inlineStr">
        <is>
          <t>ULRICEHAMN</t>
        </is>
      </c>
      <c r="G1088" t="n">
        <v>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9881-2024</t>
        </is>
      </c>
      <c r="B1089" s="1" t="n">
        <v>45363</v>
      </c>
      <c r="C1089" s="1" t="n">
        <v>45364</v>
      </c>
      <c r="D1089" t="inlineStr">
        <is>
          <t>VÄSTRA GÖTALANDS LÄN</t>
        </is>
      </c>
      <c r="E1089" t="inlineStr">
        <is>
          <t>ULRICEHAMN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9879-2024</t>
        </is>
      </c>
      <c r="B1090" s="1" t="n">
        <v>45363</v>
      </c>
      <c r="C1090" s="1" t="n">
        <v>45364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9894-2024</t>
        </is>
      </c>
      <c r="B1091" s="1" t="n">
        <v>45363</v>
      </c>
      <c r="C1091" s="1" t="n">
        <v>45364</v>
      </c>
      <c r="D1091" t="inlineStr">
        <is>
          <t>VÄSTRA GÖTALANDS LÄN</t>
        </is>
      </c>
      <c r="E1091" t="inlineStr">
        <is>
          <t>ULRICEHAMN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2024-03-13T13:55:34Z</dcterms:created>
  <dcterms:modified xmlns:dcterms="http://purl.org/dc/terms/" xmlns:xsi="http://www.w3.org/2001/XMLSchema-instance" xsi:type="dcterms:W3CDTF">2024-03-13T13:55:34Z</dcterms:modified>
</cp:coreProperties>
</file>