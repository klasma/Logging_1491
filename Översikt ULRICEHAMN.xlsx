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46135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46135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46135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46135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46135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37238-2025</t>
        </is>
      </c>
      <c r="B11" s="1" t="n">
        <v>45876.36284722222</v>
      </c>
      <c r="C11" s="1" t="n">
        <v>46135</v>
      </c>
      <c r="D11" t="inlineStr">
        <is>
          <t>VÄSTRA GÖTALANDS LÄN</t>
        </is>
      </c>
      <c r="E11" t="inlineStr">
        <is>
          <t>ULRICEHAMN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37238-2025 artfynd.xlsx", "A 37238-2025")</f>
        <v/>
      </c>
      <c r="T11">
        <f>HYPERLINK("https://klasma.github.io/Logging_1491/kartor/A 37238-2025 karta.png", "A 37238-2025")</f>
        <v/>
      </c>
      <c r="V11">
        <f>HYPERLINK("https://klasma.github.io/Logging_1491/klagomål/A 37238-2025 FSC-klagomål.docx", "A 37238-2025")</f>
        <v/>
      </c>
      <c r="W11">
        <f>HYPERLINK("https://klasma.github.io/Logging_1491/klagomålsmail/A 37238-2025 FSC-klagomål mail.docx", "A 37238-2025")</f>
        <v/>
      </c>
      <c r="X11">
        <f>HYPERLINK("https://klasma.github.io/Logging_1491/tillsyn/A 37238-2025 tillsynsbegäran.docx", "A 37238-2025")</f>
        <v/>
      </c>
      <c r="Y11">
        <f>HYPERLINK("https://klasma.github.io/Logging_1491/tillsynsmail/A 37238-2025 tillsynsbegäran mail.docx", "A 37238-2025")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46135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46135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11373-2026</t>
        </is>
      </c>
      <c r="B14" s="1" t="n">
        <v>46083.38835648148</v>
      </c>
      <c r="C14" s="1" t="n">
        <v>46135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HYPERLINK("https://klasma.github.io/Logging_1491/artfynd/A 11373-2026 artfynd.xlsx", "A 11373-2026")</f>
        <v/>
      </c>
      <c r="T14">
        <f>HYPERLINK("https://klasma.github.io/Logging_1491/kartor/A 11373-2026 karta.png", "A 11373-2026")</f>
        <v/>
      </c>
      <c r="V14">
        <f>HYPERLINK("https://klasma.github.io/Logging_1491/klagomål/A 11373-2026 FSC-klagomål.docx", "A 11373-2026")</f>
        <v/>
      </c>
      <c r="W14">
        <f>HYPERLINK("https://klasma.github.io/Logging_1491/klagomålsmail/A 11373-2026 FSC-klagomål mail.docx", "A 11373-2026")</f>
        <v/>
      </c>
      <c r="X14">
        <f>HYPERLINK("https://klasma.github.io/Logging_1491/tillsyn/A 11373-2026 tillsynsbegäran.docx", "A 11373-2026")</f>
        <v/>
      </c>
      <c r="Y14">
        <f>HYPERLINK("https://klasma.github.io/Logging_1491/tillsynsmail/A 11373-2026 tillsynsbegäran mail.docx", "A 11373-2026")</f>
        <v/>
      </c>
    </row>
    <row r="15" ht="15" customHeight="1">
      <c r="A15" t="inlineStr">
        <is>
          <t>A 17990-2026</t>
        </is>
      </c>
      <c r="B15" s="1" t="n">
        <v>46124.71787037037</v>
      </c>
      <c r="C15" s="1" t="n">
        <v>46135</v>
      </c>
      <c r="D15" t="inlineStr">
        <is>
          <t>VÄSTRA GÖTALANDS LÄN</t>
        </is>
      </c>
      <c r="E15" t="inlineStr">
        <is>
          <t>ULRICEHAMN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17990-2026 artfynd.xlsx", "A 17990-2026")</f>
        <v/>
      </c>
      <c r="T15">
        <f>HYPERLINK("https://klasma.github.io/Logging_1491/kartor/A 17990-2026 karta.png", "A 17990-2026")</f>
        <v/>
      </c>
      <c r="V15">
        <f>HYPERLINK("https://klasma.github.io/Logging_1491/klagomål/A 17990-2026 FSC-klagomål.docx", "A 17990-2026")</f>
        <v/>
      </c>
      <c r="W15">
        <f>HYPERLINK("https://klasma.github.io/Logging_1491/klagomålsmail/A 17990-2026 FSC-klagomål mail.docx", "A 17990-2026")</f>
        <v/>
      </c>
      <c r="X15">
        <f>HYPERLINK("https://klasma.github.io/Logging_1491/tillsyn/A 17990-2026 tillsynsbegäran.docx", "A 17990-2026")</f>
        <v/>
      </c>
      <c r="Y15">
        <f>HYPERLINK("https://klasma.github.io/Logging_1491/tillsynsmail/A 17990-2026 tillsynsbegäran mail.docx", "A 17990-2026")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46135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46135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21672-2025</t>
        </is>
      </c>
      <c r="B18" s="1" t="n">
        <v>45783</v>
      </c>
      <c r="C18" s="1" t="n">
        <v>46135</v>
      </c>
      <c r="D18" t="inlineStr">
        <is>
          <t>VÄSTRA GÖTALANDS LÄN</t>
        </is>
      </c>
      <c r="E18" t="inlineStr">
        <is>
          <t>ULRICEHAMN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HYPERLINK("https://klasma.github.io/Logging_1491/artfynd/A 21672-2025 artfynd.xlsx", "A 21672-2025")</f>
        <v/>
      </c>
      <c r="T18">
        <f>HYPERLINK("https://klasma.github.io/Logging_1491/kartor/A 21672-2025 karta.png", "A 21672-2025")</f>
        <v/>
      </c>
      <c r="V18">
        <f>HYPERLINK("https://klasma.github.io/Logging_1491/klagomål/A 21672-2025 FSC-klagomål.docx", "A 21672-2025")</f>
        <v/>
      </c>
      <c r="W18">
        <f>HYPERLINK("https://klasma.github.io/Logging_1491/klagomålsmail/A 21672-2025 FSC-klagomål mail.docx", "A 21672-2025")</f>
        <v/>
      </c>
      <c r="X18">
        <f>HYPERLINK("https://klasma.github.io/Logging_1491/tillsyn/A 21672-2025 tillsynsbegäran.docx", "A 21672-2025")</f>
        <v/>
      </c>
      <c r="Y18">
        <f>HYPERLINK("https://klasma.github.io/Logging_1491/tillsynsmail/A 21672-2025 tillsynsbegäran mail.docx", "A 21672-2025")</f>
        <v/>
      </c>
      <c r="Z18">
        <f>HYPERLINK("https://klasma.github.io/Logging_1491/fåglar/A 21672-2025 prioriterade fågelarter.docx", "A 21672-2025")</f>
        <v/>
      </c>
    </row>
    <row r="19" ht="15" customHeight="1">
      <c r="A19" t="inlineStr">
        <is>
          <t>A 21290-2025</t>
        </is>
      </c>
      <c r="B19" s="1" t="n">
        <v>45779.82824074074</v>
      </c>
      <c r="C19" s="1" t="n">
        <v>46135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21290-2025 artfynd.xlsx", "A 21290-2025")</f>
        <v/>
      </c>
      <c r="T19">
        <f>HYPERLINK("https://klasma.github.io/Logging_1491/kartor/A 21290-2025 karta.png", "A 21290-2025")</f>
        <v/>
      </c>
      <c r="V19">
        <f>HYPERLINK("https://klasma.github.io/Logging_1491/klagomål/A 21290-2025 FSC-klagomål.docx", "A 21290-2025")</f>
        <v/>
      </c>
      <c r="W19">
        <f>HYPERLINK("https://klasma.github.io/Logging_1491/klagomålsmail/A 21290-2025 FSC-klagomål mail.docx", "A 21290-2025")</f>
        <v/>
      </c>
      <c r="X19">
        <f>HYPERLINK("https://klasma.github.io/Logging_1491/tillsyn/A 21290-2025 tillsynsbegäran.docx", "A 21290-2025")</f>
        <v/>
      </c>
      <c r="Y19">
        <f>HYPERLINK("https://klasma.github.io/Logging_1491/tillsynsmail/A 21290-2025 tillsynsbegäran mail.docx", "A 21290-2025")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46135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46135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46135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46135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32276-2023</t>
        </is>
      </c>
      <c r="B24" s="1" t="n">
        <v>45120.36098379629</v>
      </c>
      <c r="C24" s="1" t="n">
        <v>46135</v>
      </c>
      <c r="D24" t="inlineStr">
        <is>
          <t>VÄSTRA GÖTALANDS LÄN</t>
        </is>
      </c>
      <c r="E24" t="inlineStr">
        <is>
          <t>ULRICEHAMN</t>
        </is>
      </c>
      <c r="G24" t="n">
        <v>9.300000000000001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Smalbladig lungört</t>
        </is>
      </c>
      <c r="S24">
        <f>HYPERLINK("https://klasma.github.io/Logging_1491/artfynd/A 32276-2023 artfynd.xlsx", "A 32276-2023")</f>
        <v/>
      </c>
      <c r="T24">
        <f>HYPERLINK("https://klasma.github.io/Logging_1491/kartor/A 32276-2023 karta.png", "A 32276-2023")</f>
        <v/>
      </c>
      <c r="V24">
        <f>HYPERLINK("https://klasma.github.io/Logging_1491/klagomål/A 32276-2023 FSC-klagomål.docx", "A 32276-2023")</f>
        <v/>
      </c>
      <c r="W24">
        <f>HYPERLINK("https://klasma.github.io/Logging_1491/klagomålsmail/A 32276-2023 FSC-klagomål mail.docx", "A 32276-2023")</f>
        <v/>
      </c>
      <c r="X24">
        <f>HYPERLINK("https://klasma.github.io/Logging_1491/tillsyn/A 32276-2023 tillsynsbegäran.docx", "A 32276-2023")</f>
        <v/>
      </c>
      <c r="Y24">
        <f>HYPERLINK("https://klasma.github.io/Logging_1491/tillsynsmail/A 32276-2023 tillsynsbegäran mail.docx", "A 32276-2023")</f>
        <v/>
      </c>
    </row>
    <row r="25" ht="15" customHeight="1">
      <c r="A25" t="inlineStr">
        <is>
          <t>A 22225-2025</t>
        </is>
      </c>
      <c r="B25" s="1" t="n">
        <v>45785.66121527777</v>
      </c>
      <c r="C25" s="1" t="n">
        <v>46135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HYPERLINK("https://klasma.github.io/Logging_1491/artfynd/A 22225-2025 artfynd.xlsx", "A 22225-2025")</f>
        <v/>
      </c>
      <c r="T25">
        <f>HYPERLINK("https://klasma.github.io/Logging_1491/kartor/A 22225-2025 karta.png", "A 22225-2025")</f>
        <v/>
      </c>
      <c r="V25">
        <f>HYPERLINK("https://klasma.github.io/Logging_1491/klagomål/A 22225-2025 FSC-klagomål.docx", "A 22225-2025")</f>
        <v/>
      </c>
      <c r="W25">
        <f>HYPERLINK("https://klasma.github.io/Logging_1491/klagomålsmail/A 22225-2025 FSC-klagomål mail.docx", "A 22225-2025")</f>
        <v/>
      </c>
      <c r="X25">
        <f>HYPERLINK("https://klasma.github.io/Logging_1491/tillsyn/A 22225-2025 tillsynsbegäran.docx", "A 22225-2025")</f>
        <v/>
      </c>
      <c r="Y25">
        <f>HYPERLINK("https://klasma.github.io/Logging_1491/tillsynsmail/A 22225-2025 tillsynsbegäran mail.docx", "A 22225-2025")</f>
        <v/>
      </c>
    </row>
    <row r="26" ht="15" customHeight="1">
      <c r="A26" t="inlineStr">
        <is>
          <t>A 13785-2026</t>
        </is>
      </c>
      <c r="B26" s="1" t="n">
        <v>46097.70446759259</v>
      </c>
      <c r="C26" s="1" t="n">
        <v>46135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HYPERLINK("https://klasma.github.io/Logging_1491/artfynd/A 13785-2026 artfynd.xlsx", "A 13785-2026")</f>
        <v/>
      </c>
      <c r="T26">
        <f>HYPERLINK("https://klasma.github.io/Logging_1491/kartor/A 13785-2026 karta.png", "A 13785-2026")</f>
        <v/>
      </c>
      <c r="V26">
        <f>HYPERLINK("https://klasma.github.io/Logging_1491/klagomål/A 13785-2026 FSC-klagomål.docx", "A 13785-2026")</f>
        <v/>
      </c>
      <c r="W26">
        <f>HYPERLINK("https://klasma.github.io/Logging_1491/klagomålsmail/A 13785-2026 FSC-klagomål mail.docx", "A 13785-2026")</f>
        <v/>
      </c>
      <c r="X26">
        <f>HYPERLINK("https://klasma.github.io/Logging_1491/tillsyn/A 13785-2026 tillsynsbegäran.docx", "A 13785-2026")</f>
        <v/>
      </c>
      <c r="Y26">
        <f>HYPERLINK("https://klasma.github.io/Logging_1491/tillsynsmail/A 13785-2026 tillsynsbegäran mail.docx", "A 13785-2026")</f>
        <v/>
      </c>
    </row>
    <row r="27" ht="15" customHeight="1">
      <c r="A27" t="inlineStr">
        <is>
          <t>A 34766-2023</t>
        </is>
      </c>
      <c r="B27" s="1" t="n">
        <v>45140</v>
      </c>
      <c r="C27" s="1" t="n">
        <v>46135</v>
      </c>
      <c r="D27" t="inlineStr">
        <is>
          <t>VÄSTRA GÖTALANDS LÄN</t>
        </is>
      </c>
      <c r="E27" t="inlineStr">
        <is>
          <t>ULRICEHAMN</t>
        </is>
      </c>
      <c r="G27" t="n">
        <v>17.6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HYPERLINK("https://klasma.github.io/Logging_1491/artfynd/A 34766-2023 artfynd.xlsx", "A 34766-2023")</f>
        <v/>
      </c>
      <c r="T27">
        <f>HYPERLINK("https://klasma.github.io/Logging_1491/kartor/A 34766-2023 karta.png", "A 34766-2023")</f>
        <v/>
      </c>
      <c r="V27">
        <f>HYPERLINK("https://klasma.github.io/Logging_1491/klagomål/A 34766-2023 FSC-klagomål.docx", "A 34766-2023")</f>
        <v/>
      </c>
      <c r="W27">
        <f>HYPERLINK("https://klasma.github.io/Logging_1491/klagomålsmail/A 34766-2023 FSC-klagomål mail.docx", "A 34766-2023")</f>
        <v/>
      </c>
      <c r="X27">
        <f>HYPERLINK("https://klasma.github.io/Logging_1491/tillsyn/A 34766-2023 tillsynsbegäran.docx", "A 34766-2023")</f>
        <v/>
      </c>
      <c r="Y27">
        <f>HYPERLINK("https://klasma.github.io/Logging_1491/tillsynsmail/A 34766-2023 tillsynsbegäran mail.docx", "A 34766-2023")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46135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46135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46135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46135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46135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46135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46135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46135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46135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46135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46135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46135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46135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46135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46135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46135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46135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46135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46135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19388-2021</t>
        </is>
      </c>
      <c r="B47" s="1" t="n">
        <v>44309</v>
      </c>
      <c r="C47" s="1" t="n">
        <v>46135</v>
      </c>
      <c r="D47" t="inlineStr">
        <is>
          <t>VÄSTRA GÖTALANDS LÄN</t>
        </is>
      </c>
      <c r="E47" t="inlineStr">
        <is>
          <t>ULRICEHAMN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12074-2022</t>
        </is>
      </c>
      <c r="B48" s="1" t="n">
        <v>44636.47163194444</v>
      </c>
      <c r="C48" s="1" t="n">
        <v>46135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14549-2022</t>
        </is>
      </c>
      <c r="B49" s="1" t="n">
        <v>44655</v>
      </c>
      <c r="C49" s="1" t="n">
        <v>46135</v>
      </c>
      <c r="D49" t="inlineStr">
        <is>
          <t>VÄSTRA GÖTALANDS LÄN</t>
        </is>
      </c>
      <c r="E49" t="inlineStr">
        <is>
          <t>ULRICEHAMN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46135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51292-2022</t>
        </is>
      </c>
      <c r="B51" s="1" t="n">
        <v>44868.88850694444</v>
      </c>
      <c r="C51" s="1" t="n">
        <v>46135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46135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37380-2022</t>
        </is>
      </c>
      <c r="B53" s="1" t="n">
        <v>44809.40603009259</v>
      </c>
      <c r="C53" s="1" t="n">
        <v>46135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40932-2022</t>
        </is>
      </c>
      <c r="B54" s="1" t="n">
        <v>44823</v>
      </c>
      <c r="C54" s="1" t="n">
        <v>46135</v>
      </c>
      <c r="D54" t="inlineStr">
        <is>
          <t>VÄSTRA GÖTALANDS LÄN</t>
        </is>
      </c>
      <c r="E54" t="inlineStr">
        <is>
          <t>ULRICEHAMN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70018-2021</t>
        </is>
      </c>
      <c r="B55" s="1" t="n">
        <v>44533.45332175926</v>
      </c>
      <c r="C55" s="1" t="n">
        <v>46135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70044-2021</t>
        </is>
      </c>
      <c r="B56" s="1" t="n">
        <v>44533.47378472222</v>
      </c>
      <c r="C56" s="1" t="n">
        <v>46135</v>
      </c>
      <c r="D56" t="inlineStr">
        <is>
          <t>VÄSTRA GÖTALANDS LÄN</t>
        </is>
      </c>
      <c r="E56" t="inlineStr">
        <is>
          <t>ULRICEHAMN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46135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61069-2021</t>
        </is>
      </c>
      <c r="B58" s="1" t="n">
        <v>44497.82625</v>
      </c>
      <c r="C58" s="1" t="n">
        <v>46135</v>
      </c>
      <c r="D58" t="inlineStr">
        <is>
          <t>VÄSTRA GÖTALANDS LÄN</t>
        </is>
      </c>
      <c r="E58" t="inlineStr">
        <is>
          <t>ULRICEHAMN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408-2022</t>
        </is>
      </c>
      <c r="B59" s="1" t="n">
        <v>44565.72142361111</v>
      </c>
      <c r="C59" s="1" t="n">
        <v>46135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54486-2022</t>
        </is>
      </c>
      <c r="B60" s="1" t="n">
        <v>44882.67047453704</v>
      </c>
      <c r="C60" s="1" t="n">
        <v>46135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73823-2021</t>
        </is>
      </c>
      <c r="B61" s="1" t="n">
        <v>44552</v>
      </c>
      <c r="C61" s="1" t="n">
        <v>46135</v>
      </c>
      <c r="D61" t="inlineStr">
        <is>
          <t>VÄSTRA GÖTALANDS LÄN</t>
        </is>
      </c>
      <c r="E61" t="inlineStr">
        <is>
          <t>ULRICEHAMN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59512-2021</t>
        </is>
      </c>
      <c r="B62" s="1" t="n">
        <v>44491</v>
      </c>
      <c r="C62" s="1" t="n">
        <v>46135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53617-2021</t>
        </is>
      </c>
      <c r="B63" s="1" t="n">
        <v>44469.38113425926</v>
      </c>
      <c r="C63" s="1" t="n">
        <v>46135</v>
      </c>
      <c r="D63" t="inlineStr">
        <is>
          <t>VÄSTRA GÖTALANDS LÄN</t>
        </is>
      </c>
      <c r="E63" t="inlineStr">
        <is>
          <t>ULRICEHAMN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63170-2021</t>
        </is>
      </c>
      <c r="B64" s="1" t="n">
        <v>44506</v>
      </c>
      <c r="C64" s="1" t="n">
        <v>46135</v>
      </c>
      <c r="D64" t="inlineStr">
        <is>
          <t>VÄSTRA GÖTALANDS LÄN</t>
        </is>
      </c>
      <c r="E64" t="inlineStr">
        <is>
          <t>ULRICEHAMN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51573-2021</t>
        </is>
      </c>
      <c r="B65" s="1" t="n">
        <v>44462</v>
      </c>
      <c r="C65" s="1" t="n">
        <v>46135</v>
      </c>
      <c r="D65" t="inlineStr">
        <is>
          <t>VÄSTRA GÖTALANDS LÄN</t>
        </is>
      </c>
      <c r="E65" t="inlineStr">
        <is>
          <t>ULRICEHAMN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47466-2021</t>
        </is>
      </c>
      <c r="B66" s="1" t="n">
        <v>44447</v>
      </c>
      <c r="C66" s="1" t="n">
        <v>46135</v>
      </c>
      <c r="D66" t="inlineStr">
        <is>
          <t>VÄSTRA GÖTALANDS LÄN</t>
        </is>
      </c>
      <c r="E66" t="inlineStr">
        <is>
          <t>ULRICEHAMN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25558-2022</t>
        </is>
      </c>
      <c r="B67" s="1" t="n">
        <v>44732</v>
      </c>
      <c r="C67" s="1" t="n">
        <v>46135</v>
      </c>
      <c r="D67" t="inlineStr">
        <is>
          <t>VÄSTRA GÖTALANDS LÄN</t>
        </is>
      </c>
      <c r="E67" t="inlineStr">
        <is>
          <t>ULRICEHAMN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15049-2022</t>
        </is>
      </c>
      <c r="B68" s="1" t="n">
        <v>44657</v>
      </c>
      <c r="C68" s="1" t="n">
        <v>46135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71863-2021</t>
        </is>
      </c>
      <c r="B69" s="1" t="n">
        <v>44543</v>
      </c>
      <c r="C69" s="1" t="n">
        <v>46135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48614-2022</t>
        </is>
      </c>
      <c r="B70" s="1" t="n">
        <v>44854</v>
      </c>
      <c r="C70" s="1" t="n">
        <v>46135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31714-2022</t>
        </is>
      </c>
      <c r="B71" s="1" t="n">
        <v>44776</v>
      </c>
      <c r="C71" s="1" t="n">
        <v>46135</v>
      </c>
      <c r="D71" t="inlineStr">
        <is>
          <t>VÄSTRA GÖTALANDS LÄN</t>
        </is>
      </c>
      <c r="E71" t="inlineStr">
        <is>
          <t>ULRICEHAMN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14668-2022</t>
        </is>
      </c>
      <c r="B72" s="1" t="n">
        <v>44655.78991898148</v>
      </c>
      <c r="C72" s="1" t="n">
        <v>46135</v>
      </c>
      <c r="D72" t="inlineStr">
        <is>
          <t>VÄSTRA GÖTALANDS LÄN</t>
        </is>
      </c>
      <c r="E72" t="inlineStr">
        <is>
          <t>ULRICEHAMN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31580-2022</t>
        </is>
      </c>
      <c r="B73" s="1" t="n">
        <v>44775</v>
      </c>
      <c r="C73" s="1" t="n">
        <v>46135</v>
      </c>
      <c r="D73" t="inlineStr">
        <is>
          <t>VÄSTRA GÖTALANDS LÄN</t>
        </is>
      </c>
      <c r="E73" t="inlineStr">
        <is>
          <t>ULRICEHAMN</t>
        </is>
      </c>
      <c r="G73" t="n">
        <v>13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47598-2021</t>
        </is>
      </c>
      <c r="B74" s="1" t="n">
        <v>44448.32766203704</v>
      </c>
      <c r="C74" s="1" t="n">
        <v>46135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14733-2022</t>
        </is>
      </c>
      <c r="B75" s="1" t="n">
        <v>44656.369375</v>
      </c>
      <c r="C75" s="1" t="n">
        <v>46135</v>
      </c>
      <c r="D75" t="inlineStr">
        <is>
          <t>VÄSTRA GÖTALANDS LÄN</t>
        </is>
      </c>
      <c r="E75" t="inlineStr">
        <is>
          <t>ULRICEHAMN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47133-2022</t>
        </is>
      </c>
      <c r="B76" s="1" t="n">
        <v>44852.55070601852</v>
      </c>
      <c r="C76" s="1" t="n">
        <v>46135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19950-2021</t>
        </is>
      </c>
      <c r="B77" s="1" t="n">
        <v>44313.62149305556</v>
      </c>
      <c r="C77" s="1" t="n">
        <v>46135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69670-2021</t>
        </is>
      </c>
      <c r="B78" s="1" t="n">
        <v>44532.45248842592</v>
      </c>
      <c r="C78" s="1" t="n">
        <v>46135</v>
      </c>
      <c r="D78" t="inlineStr">
        <is>
          <t>VÄSTRA GÖTALANDS LÄN</t>
        </is>
      </c>
      <c r="E78" t="inlineStr">
        <is>
          <t>ULRICEHAMN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25673-2022</t>
        </is>
      </c>
      <c r="B79" s="1" t="n">
        <v>44733.28400462963</v>
      </c>
      <c r="C79" s="1" t="n">
        <v>46135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5284-2022</t>
        </is>
      </c>
      <c r="B80" s="1" t="n">
        <v>44594.60802083334</v>
      </c>
      <c r="C80" s="1" t="n">
        <v>46135</v>
      </c>
      <c r="D80" t="inlineStr">
        <is>
          <t>VÄSTRA GÖTALANDS LÄN</t>
        </is>
      </c>
      <c r="E80" t="inlineStr">
        <is>
          <t>ULRICEHAMN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29144-2022</t>
        </is>
      </c>
      <c r="B81" s="1" t="n">
        <v>44750</v>
      </c>
      <c r="C81" s="1" t="n">
        <v>46135</v>
      </c>
      <c r="D81" t="inlineStr">
        <is>
          <t>VÄSTRA GÖTALANDS LÄN</t>
        </is>
      </c>
      <c r="E81" t="inlineStr">
        <is>
          <t>ULRICEHAMN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63680-2021</t>
        </is>
      </c>
      <c r="B82" s="1" t="n">
        <v>44509.38251157408</v>
      </c>
      <c r="C82" s="1" t="n">
        <v>46135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51293-2022</t>
        </is>
      </c>
      <c r="B83" s="1" t="n">
        <v>44868.88914351852</v>
      </c>
      <c r="C83" s="1" t="n">
        <v>46135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36560-2021</t>
        </is>
      </c>
      <c r="B84" s="1" t="n">
        <v>44391</v>
      </c>
      <c r="C84" s="1" t="n">
        <v>46135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15672-2022</t>
        </is>
      </c>
      <c r="B85" s="1" t="n">
        <v>44663.21403935185</v>
      </c>
      <c r="C85" s="1" t="n">
        <v>46135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41740-2024</t>
        </is>
      </c>
      <c r="B86" s="1" t="n">
        <v>45561.27222222222</v>
      </c>
      <c r="C86" s="1" t="n">
        <v>46135</v>
      </c>
      <c r="D86" t="inlineStr">
        <is>
          <t>VÄSTRA GÖTALANDS LÄN</t>
        </is>
      </c>
      <c r="E86" t="inlineStr">
        <is>
          <t>ULRICEHAMN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39774-2021</t>
        </is>
      </c>
      <c r="B87" s="1" t="n">
        <v>44417.55487268518</v>
      </c>
      <c r="C87" s="1" t="n">
        <v>46135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31298-2022</t>
        </is>
      </c>
      <c r="B88" s="1" t="n">
        <v>44772</v>
      </c>
      <c r="C88" s="1" t="n">
        <v>46135</v>
      </c>
      <c r="D88" t="inlineStr">
        <is>
          <t>VÄSTRA GÖTALANDS LÄN</t>
        </is>
      </c>
      <c r="E88" t="inlineStr">
        <is>
          <t>ULRICEHAMN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56450-2024</t>
        </is>
      </c>
      <c r="B89" s="1" t="n">
        <v>45625.43532407407</v>
      </c>
      <c r="C89" s="1" t="n">
        <v>46135</v>
      </c>
      <c r="D89" t="inlineStr">
        <is>
          <t>VÄSTRA GÖTALANDS LÄN</t>
        </is>
      </c>
      <c r="E89" t="inlineStr">
        <is>
          <t>ULRICEHAMN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9953-2022</t>
        </is>
      </c>
      <c r="B90" s="1" t="n">
        <v>44621.28681712963</v>
      </c>
      <c r="C90" s="1" t="n">
        <v>46135</v>
      </c>
      <c r="D90" t="inlineStr">
        <is>
          <t>VÄSTRA GÖTALANDS LÄN</t>
        </is>
      </c>
      <c r="E90" t="inlineStr">
        <is>
          <t>ULRICEHAMN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37893-2021</t>
        </is>
      </c>
      <c r="B91" s="1" t="n">
        <v>44403.546875</v>
      </c>
      <c r="C91" s="1" t="n">
        <v>46135</v>
      </c>
      <c r="D91" t="inlineStr">
        <is>
          <t>VÄSTRA GÖTALANDS LÄN</t>
        </is>
      </c>
      <c r="E91" t="inlineStr">
        <is>
          <t>ULRICEHAMN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34576-2023</t>
        </is>
      </c>
      <c r="B92" s="1" t="n">
        <v>45140.54517361111</v>
      </c>
      <c r="C92" s="1" t="n">
        <v>46135</v>
      </c>
      <c r="D92" t="inlineStr">
        <is>
          <t>VÄSTRA GÖTALANDS LÄN</t>
        </is>
      </c>
      <c r="E92" t="inlineStr">
        <is>
          <t>ULRICEHAMN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32303-2023</t>
        </is>
      </c>
      <c r="B93" s="1" t="n">
        <v>45120.42296296296</v>
      </c>
      <c r="C93" s="1" t="n">
        <v>46135</v>
      </c>
      <c r="D93" t="inlineStr">
        <is>
          <t>VÄSTRA GÖTALANDS LÄN</t>
        </is>
      </c>
      <c r="E93" t="inlineStr">
        <is>
          <t>ULRICEHAMN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7319-2022</t>
        </is>
      </c>
      <c r="B94" s="1" t="n">
        <v>44606.52885416667</v>
      </c>
      <c r="C94" s="1" t="n">
        <v>46135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43241-2024</t>
        </is>
      </c>
      <c r="B95" s="1" t="n">
        <v>45568.25478009259</v>
      </c>
      <c r="C95" s="1" t="n">
        <v>46135</v>
      </c>
      <c r="D95" t="inlineStr">
        <is>
          <t>VÄSTRA GÖTALANDS LÄN</t>
        </is>
      </c>
      <c r="E95" t="inlineStr">
        <is>
          <t>ULRICEHAMN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67657-2021</t>
        </is>
      </c>
      <c r="B96" s="1" t="n">
        <v>44524.80753472223</v>
      </c>
      <c r="C96" s="1" t="n">
        <v>46135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4873-2022</t>
        </is>
      </c>
      <c r="B97" s="1" t="n">
        <v>44593.3330787037</v>
      </c>
      <c r="C97" s="1" t="n">
        <v>46135</v>
      </c>
      <c r="D97" t="inlineStr">
        <is>
          <t>VÄSTRA GÖTALANDS LÄN</t>
        </is>
      </c>
      <c r="E97" t="inlineStr">
        <is>
          <t>ULRICEHAMN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5294-2023</t>
        </is>
      </c>
      <c r="B98" s="1" t="n">
        <v>44959.53804398148</v>
      </c>
      <c r="C98" s="1" t="n">
        <v>46135</v>
      </c>
      <c r="D98" t="inlineStr">
        <is>
          <t>VÄSTRA GÖTALANDS LÄN</t>
        </is>
      </c>
      <c r="E98" t="inlineStr">
        <is>
          <t>ULRICEHAMN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46135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39839-2024</t>
        </is>
      </c>
      <c r="B100" s="1" t="n">
        <v>45553.42306712963</v>
      </c>
      <c r="C100" s="1" t="n">
        <v>46135</v>
      </c>
      <c r="D100" t="inlineStr">
        <is>
          <t>VÄSTRA GÖTALANDS LÄN</t>
        </is>
      </c>
      <c r="E100" t="inlineStr">
        <is>
          <t>ULRICEHAMN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8178-2022</t>
        </is>
      </c>
      <c r="B101" s="1" t="n">
        <v>44609.65611111111</v>
      </c>
      <c r="C101" s="1" t="n">
        <v>46135</v>
      </c>
      <c r="D101" t="inlineStr">
        <is>
          <t>VÄSTRA GÖTALANDS LÄN</t>
        </is>
      </c>
      <c r="E101" t="inlineStr">
        <is>
          <t>ULRICEHAMN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4870-2022</t>
        </is>
      </c>
      <c r="B102" s="1" t="n">
        <v>44593.32331018519</v>
      </c>
      <c r="C102" s="1" t="n">
        <v>46135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39464-2023</t>
        </is>
      </c>
      <c r="B103" s="1" t="n">
        <v>45166</v>
      </c>
      <c r="C103" s="1" t="n">
        <v>46135</v>
      </c>
      <c r="D103" t="inlineStr">
        <is>
          <t>VÄSTRA GÖTALANDS LÄN</t>
        </is>
      </c>
      <c r="E103" t="inlineStr">
        <is>
          <t>ULRICEHAMN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39473-2023</t>
        </is>
      </c>
      <c r="B104" s="1" t="n">
        <v>45166</v>
      </c>
      <c r="C104" s="1" t="n">
        <v>46135</v>
      </c>
      <c r="D104" t="inlineStr">
        <is>
          <t>VÄSTRA GÖTALANDS LÄN</t>
        </is>
      </c>
      <c r="E104" t="inlineStr">
        <is>
          <t>ULRICEHAMN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39476-2023</t>
        </is>
      </c>
      <c r="B105" s="1" t="n">
        <v>45166</v>
      </c>
      <c r="C105" s="1" t="n">
        <v>46135</v>
      </c>
      <c r="D105" t="inlineStr">
        <is>
          <t>VÄSTRA GÖTALANDS LÄN</t>
        </is>
      </c>
      <c r="E105" t="inlineStr">
        <is>
          <t>ULRICEHAMN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54521-2022</t>
        </is>
      </c>
      <c r="B106" s="1" t="n">
        <v>44882.73644675926</v>
      </c>
      <c r="C106" s="1" t="n">
        <v>46135</v>
      </c>
      <c r="D106" t="inlineStr">
        <is>
          <t>VÄSTRA GÖTALANDS LÄN</t>
        </is>
      </c>
      <c r="E106" t="inlineStr">
        <is>
          <t>ULRICEHAMN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23581-2021</t>
        </is>
      </c>
      <c r="B107" s="1" t="n">
        <v>44334</v>
      </c>
      <c r="C107" s="1" t="n">
        <v>46135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52481-2021</t>
        </is>
      </c>
      <c r="B108" s="1" t="n">
        <v>44466.41472222222</v>
      </c>
      <c r="C108" s="1" t="n">
        <v>46135</v>
      </c>
      <c r="D108" t="inlineStr">
        <is>
          <t>VÄSTRA GÖTALANDS LÄN</t>
        </is>
      </c>
      <c r="E108" t="inlineStr">
        <is>
          <t>ULRICEHAMN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56770-2021</t>
        </is>
      </c>
      <c r="B109" s="1" t="n">
        <v>44480</v>
      </c>
      <c r="C109" s="1" t="n">
        <v>46135</v>
      </c>
      <c r="D109" t="inlineStr">
        <is>
          <t>VÄSTRA GÖTALANDS LÄN</t>
        </is>
      </c>
      <c r="E109" t="inlineStr">
        <is>
          <t>ULRICEHAMN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32161-2021</t>
        </is>
      </c>
      <c r="B110" s="1" t="n">
        <v>44371</v>
      </c>
      <c r="C110" s="1" t="n">
        <v>46135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47469-2021</t>
        </is>
      </c>
      <c r="B111" s="1" t="n">
        <v>44447</v>
      </c>
      <c r="C111" s="1" t="n">
        <v>46135</v>
      </c>
      <c r="D111" t="inlineStr">
        <is>
          <t>VÄSTRA GÖTALANDS LÄN</t>
        </is>
      </c>
      <c r="E111" t="inlineStr">
        <is>
          <t>ULRICEHAMN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46135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5317-2023</t>
        </is>
      </c>
      <c r="B113" s="1" t="n">
        <v>44959.56810185185</v>
      </c>
      <c r="C113" s="1" t="n">
        <v>46135</v>
      </c>
      <c r="D113" t="inlineStr">
        <is>
          <t>VÄSTRA GÖTALANDS LÄN</t>
        </is>
      </c>
      <c r="E113" t="inlineStr">
        <is>
          <t>ULRICEHAMN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5328-2023</t>
        </is>
      </c>
      <c r="B114" s="1" t="n">
        <v>44959</v>
      </c>
      <c r="C114" s="1" t="n">
        <v>46135</v>
      </c>
      <c r="D114" t="inlineStr">
        <is>
          <t>VÄSTRA GÖTALANDS LÄN</t>
        </is>
      </c>
      <c r="E114" t="inlineStr">
        <is>
          <t>ULRICEHAMN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36881-2021</t>
        </is>
      </c>
      <c r="B115" s="1" t="n">
        <v>44393</v>
      </c>
      <c r="C115" s="1" t="n">
        <v>46135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10558-2022</t>
        </is>
      </c>
      <c r="B116" s="1" t="n">
        <v>44624.30858796297</v>
      </c>
      <c r="C116" s="1" t="n">
        <v>46135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36888-2021</t>
        </is>
      </c>
      <c r="B117" s="1" t="n">
        <v>44393</v>
      </c>
      <c r="C117" s="1" t="n">
        <v>46135</v>
      </c>
      <c r="D117" t="inlineStr">
        <is>
          <t>VÄSTRA GÖTALANDS LÄN</t>
        </is>
      </c>
      <c r="E117" t="inlineStr">
        <is>
          <t>ULRICEHAMN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54519-2022</t>
        </is>
      </c>
      <c r="B118" s="1" t="n">
        <v>44882</v>
      </c>
      <c r="C118" s="1" t="n">
        <v>46135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54208-2022</t>
        </is>
      </c>
      <c r="B119" s="1" t="n">
        <v>44881.7462962963</v>
      </c>
      <c r="C119" s="1" t="n">
        <v>46135</v>
      </c>
      <c r="D119" t="inlineStr">
        <is>
          <t>VÄSTRA GÖTALANDS LÄN</t>
        </is>
      </c>
      <c r="E119" t="inlineStr">
        <is>
          <t>ULRICEHAMN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47605-2021</t>
        </is>
      </c>
      <c r="B120" s="1" t="n">
        <v>44448</v>
      </c>
      <c r="C120" s="1" t="n">
        <v>46135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38984-2023</t>
        </is>
      </c>
      <c r="B121" s="1" t="n">
        <v>45163.65268518519</v>
      </c>
      <c r="C121" s="1" t="n">
        <v>46135</v>
      </c>
      <c r="D121" t="inlineStr">
        <is>
          <t>VÄSTRA GÖTALANDS LÄN</t>
        </is>
      </c>
      <c r="E121" t="inlineStr">
        <is>
          <t>ULRICEHAMN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22942-2023</t>
        </is>
      </c>
      <c r="B122" s="1" t="n">
        <v>45072</v>
      </c>
      <c r="C122" s="1" t="n">
        <v>46135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8170-2022</t>
        </is>
      </c>
      <c r="B123" s="1" t="n">
        <v>44609</v>
      </c>
      <c r="C123" s="1" t="n">
        <v>46135</v>
      </c>
      <c r="D123" t="inlineStr">
        <is>
          <t>VÄSTRA GÖTALANDS LÄN</t>
        </is>
      </c>
      <c r="E123" t="inlineStr">
        <is>
          <t>ULRICEHAMN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36623-2021</t>
        </is>
      </c>
      <c r="B124" s="1" t="n">
        <v>44391</v>
      </c>
      <c r="C124" s="1" t="n">
        <v>46135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52349-2021</t>
        </is>
      </c>
      <c r="B125" s="1" t="n">
        <v>44464.50724537037</v>
      </c>
      <c r="C125" s="1" t="n">
        <v>46135</v>
      </c>
      <c r="D125" t="inlineStr">
        <is>
          <t>VÄSTRA GÖTALANDS LÄN</t>
        </is>
      </c>
      <c r="E125" t="inlineStr">
        <is>
          <t>ULRICEHAMN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26860-2024</t>
        </is>
      </c>
      <c r="B126" s="1" t="n">
        <v>45470.60431712963</v>
      </c>
      <c r="C126" s="1" t="n">
        <v>46135</v>
      </c>
      <c r="D126" t="inlineStr">
        <is>
          <t>VÄSTRA GÖTALANDS LÄN</t>
        </is>
      </c>
      <c r="E126" t="inlineStr">
        <is>
          <t>ULRICEHAMN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41005-2021</t>
        </is>
      </c>
      <c r="B127" s="1" t="n">
        <v>44421.61880787037</v>
      </c>
      <c r="C127" s="1" t="n">
        <v>46135</v>
      </c>
      <c r="D127" t="inlineStr">
        <is>
          <t>VÄSTRA GÖTALANDS LÄN</t>
        </is>
      </c>
      <c r="E127" t="inlineStr">
        <is>
          <t>ULRICEHAMN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39568-2024</t>
        </is>
      </c>
      <c r="B128" s="1" t="n">
        <v>45552.35871527778</v>
      </c>
      <c r="C128" s="1" t="n">
        <v>46135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45075-2021</t>
        </is>
      </c>
      <c r="B129" s="1" t="n">
        <v>44439.38043981481</v>
      </c>
      <c r="C129" s="1" t="n">
        <v>46135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45647-2022</t>
        </is>
      </c>
      <c r="B130" s="1" t="n">
        <v>44845</v>
      </c>
      <c r="C130" s="1" t="n">
        <v>46135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53899-2022</t>
        </is>
      </c>
      <c r="B131" s="1" t="n">
        <v>44880.75383101852</v>
      </c>
      <c r="C131" s="1" t="n">
        <v>46135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6438-2024</t>
        </is>
      </c>
      <c r="B132" s="1" t="n">
        <v>45338</v>
      </c>
      <c r="C132" s="1" t="n">
        <v>46135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38594-2023</t>
        </is>
      </c>
      <c r="B133" s="1" t="n">
        <v>45162</v>
      </c>
      <c r="C133" s="1" t="n">
        <v>46135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38450-2024</t>
        </is>
      </c>
      <c r="B134" s="1" t="n">
        <v>45546.43820601852</v>
      </c>
      <c r="C134" s="1" t="n">
        <v>46135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2993-2023</t>
        </is>
      </c>
      <c r="B135" s="1" t="n">
        <v>44945.73416666667</v>
      </c>
      <c r="C135" s="1" t="n">
        <v>46135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16990-2024</t>
        </is>
      </c>
      <c r="B136" s="1" t="n">
        <v>45412.32587962963</v>
      </c>
      <c r="C136" s="1" t="n">
        <v>46135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14599-2024</t>
        </is>
      </c>
      <c r="B137" s="1" t="n">
        <v>45395</v>
      </c>
      <c r="C137" s="1" t="n">
        <v>46135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7532-2024</t>
        </is>
      </c>
      <c r="B138" s="1" t="n">
        <v>45348.3955324074</v>
      </c>
      <c r="C138" s="1" t="n">
        <v>46135</v>
      </c>
      <c r="D138" t="inlineStr">
        <is>
          <t>VÄSTRA GÖTALANDS LÄN</t>
        </is>
      </c>
      <c r="E138" t="inlineStr">
        <is>
          <t>ULRICEHAMN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50677-2021</t>
        </is>
      </c>
      <c r="B139" s="1" t="n">
        <v>44460.32847222222</v>
      </c>
      <c r="C139" s="1" t="n">
        <v>46135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37315-2025</t>
        </is>
      </c>
      <c r="B140" s="1" t="n">
        <v>45876.61038194445</v>
      </c>
      <c r="C140" s="1" t="n">
        <v>46135</v>
      </c>
      <c r="D140" t="inlineStr">
        <is>
          <t>VÄSTRA GÖTALANDS LÄN</t>
        </is>
      </c>
      <c r="E140" t="inlineStr">
        <is>
          <t>ULRICEHAMN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37367-2025</t>
        </is>
      </c>
      <c r="B141" s="1" t="n">
        <v>45877.34076388889</v>
      </c>
      <c r="C141" s="1" t="n">
        <v>46135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37751-2025</t>
        </is>
      </c>
      <c r="B142" s="1" t="n">
        <v>45880.67349537037</v>
      </c>
      <c r="C142" s="1" t="n">
        <v>46135</v>
      </c>
      <c r="D142" t="inlineStr">
        <is>
          <t>VÄSTRA GÖTALANDS LÄN</t>
        </is>
      </c>
      <c r="E142" t="inlineStr">
        <is>
          <t>ULRICEHAMN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37750-2025</t>
        </is>
      </c>
      <c r="B143" s="1" t="n">
        <v>45880.67012731481</v>
      </c>
      <c r="C143" s="1" t="n">
        <v>46135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42289-2023</t>
        </is>
      </c>
      <c r="B144" s="1" t="n">
        <v>45180</v>
      </c>
      <c r="C144" s="1" t="n">
        <v>46135</v>
      </c>
      <c r="D144" t="inlineStr">
        <is>
          <t>VÄSTRA GÖTALANDS LÄN</t>
        </is>
      </c>
      <c r="E144" t="inlineStr">
        <is>
          <t>ULRICEHAMN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14945-2025</t>
        </is>
      </c>
      <c r="B145" s="1" t="n">
        <v>45743.57135416667</v>
      </c>
      <c r="C145" s="1" t="n">
        <v>46135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37560-2025</t>
        </is>
      </c>
      <c r="B146" s="1" t="n">
        <v>45880</v>
      </c>
      <c r="C146" s="1" t="n">
        <v>46135</v>
      </c>
      <c r="D146" t="inlineStr">
        <is>
          <t>VÄSTRA GÖTALANDS LÄN</t>
        </is>
      </c>
      <c r="E146" t="inlineStr">
        <is>
          <t>ULRICEHAMN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2664-2025</t>
        </is>
      </c>
      <c r="B147" s="1" t="n">
        <v>45676.88591435185</v>
      </c>
      <c r="C147" s="1" t="n">
        <v>46135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13061-2024</t>
        </is>
      </c>
      <c r="B148" s="1" t="n">
        <v>45385.62458333333</v>
      </c>
      <c r="C148" s="1" t="n">
        <v>46135</v>
      </c>
      <c r="D148" t="inlineStr">
        <is>
          <t>VÄSTRA GÖTALANDS LÄN</t>
        </is>
      </c>
      <c r="E148" t="inlineStr">
        <is>
          <t>ULRICEHAMN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30332-2022</t>
        </is>
      </c>
      <c r="B149" s="1" t="n">
        <v>44760.46152777778</v>
      </c>
      <c r="C149" s="1" t="n">
        <v>46135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37706-2025</t>
        </is>
      </c>
      <c r="B150" s="1" t="n">
        <v>45880.59420138889</v>
      </c>
      <c r="C150" s="1" t="n">
        <v>46135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56120-2021</t>
        </is>
      </c>
      <c r="B151" s="1" t="n">
        <v>44477</v>
      </c>
      <c r="C151" s="1" t="n">
        <v>46135</v>
      </c>
      <c r="D151" t="inlineStr">
        <is>
          <t>VÄSTRA GÖTALANDS LÄN</t>
        </is>
      </c>
      <c r="E151" t="inlineStr">
        <is>
          <t>ULRICEHAMN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56670-2024</t>
        </is>
      </c>
      <c r="B152" s="1" t="n">
        <v>45626.62587962963</v>
      </c>
      <c r="C152" s="1" t="n">
        <v>46135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56672-2024</t>
        </is>
      </c>
      <c r="B153" s="1" t="n">
        <v>45626.75635416667</v>
      </c>
      <c r="C153" s="1" t="n">
        <v>46135</v>
      </c>
      <c r="D153" t="inlineStr">
        <is>
          <t>VÄSTRA GÖTALANDS LÄN</t>
        </is>
      </c>
      <c r="E153" t="inlineStr">
        <is>
          <t>ULRICEHAMN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56676-2024</t>
        </is>
      </c>
      <c r="B154" s="1" t="n">
        <v>45626.8178125</v>
      </c>
      <c r="C154" s="1" t="n">
        <v>46135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51158-2024</t>
        </is>
      </c>
      <c r="B155" s="1" t="n">
        <v>45603.57714120371</v>
      </c>
      <c r="C155" s="1" t="n">
        <v>46135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38313-2025</t>
        </is>
      </c>
      <c r="B156" s="1" t="n">
        <v>45883.47704861111</v>
      </c>
      <c r="C156" s="1" t="n">
        <v>46135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64762-2021</t>
        </is>
      </c>
      <c r="B157" s="1" t="n">
        <v>44512</v>
      </c>
      <c r="C157" s="1" t="n">
        <v>46135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51777-2024</t>
        </is>
      </c>
      <c r="B158" s="1" t="n">
        <v>45607.45567129629</v>
      </c>
      <c r="C158" s="1" t="n">
        <v>46135</v>
      </c>
      <c r="D158" t="inlineStr">
        <is>
          <t>VÄSTRA GÖTALANDS LÄN</t>
        </is>
      </c>
      <c r="E158" t="inlineStr">
        <is>
          <t>ULRICEHAMN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544-2024</t>
        </is>
      </c>
      <c r="B159" s="1" t="n">
        <v>45299</v>
      </c>
      <c r="C159" s="1" t="n">
        <v>46135</v>
      </c>
      <c r="D159" t="inlineStr">
        <is>
          <t>VÄSTRA GÖTALANDS LÄN</t>
        </is>
      </c>
      <c r="E159" t="inlineStr">
        <is>
          <t>ULRICEHAMN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42677-2023</t>
        </is>
      </c>
      <c r="B160" s="1" t="n">
        <v>45181</v>
      </c>
      <c r="C160" s="1" t="n">
        <v>46135</v>
      </c>
      <c r="D160" t="inlineStr">
        <is>
          <t>VÄSTRA GÖTALANDS LÄN</t>
        </is>
      </c>
      <c r="E160" t="inlineStr">
        <is>
          <t>ULRICEHAMN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3457-2024</t>
        </is>
      </c>
      <c r="B161" s="1" t="n">
        <v>45320.39425925926</v>
      </c>
      <c r="C161" s="1" t="n">
        <v>46135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38087-2025</t>
        </is>
      </c>
      <c r="B162" s="1" t="n">
        <v>45882.47818287037</v>
      </c>
      <c r="C162" s="1" t="n">
        <v>46135</v>
      </c>
      <c r="D162" t="inlineStr">
        <is>
          <t>VÄSTRA GÖTALANDS LÄN</t>
        </is>
      </c>
      <c r="E162" t="inlineStr">
        <is>
          <t>ULRICEHAMN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24675-2023</t>
        </is>
      </c>
      <c r="B163" s="1" t="n">
        <v>45084.49618055556</v>
      </c>
      <c r="C163" s="1" t="n">
        <v>46135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52172-2023</t>
        </is>
      </c>
      <c r="B164" s="1" t="n">
        <v>45224.35410879629</v>
      </c>
      <c r="C164" s="1" t="n">
        <v>46135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38377-2025</t>
        </is>
      </c>
      <c r="B165" s="1" t="n">
        <v>45883.57228009259</v>
      </c>
      <c r="C165" s="1" t="n">
        <v>46135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3820-2025</t>
        </is>
      </c>
      <c r="B166" s="1" t="n">
        <v>45681.71317129629</v>
      </c>
      <c r="C166" s="1" t="n">
        <v>46135</v>
      </c>
      <c r="D166" t="inlineStr">
        <is>
          <t>VÄSTRA GÖTALANDS LÄN</t>
        </is>
      </c>
      <c r="E166" t="inlineStr">
        <is>
          <t>ULRICEHAMN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9994-2024</t>
        </is>
      </c>
      <c r="B167" s="1" t="n">
        <v>45363.73256944444</v>
      </c>
      <c r="C167" s="1" t="n">
        <v>46135</v>
      </c>
      <c r="D167" t="inlineStr">
        <is>
          <t>VÄSTRA GÖTALANDS LÄN</t>
        </is>
      </c>
      <c r="E167" t="inlineStr">
        <is>
          <t>ULRICEHAMN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39145-2023</t>
        </is>
      </c>
      <c r="B168" s="1" t="n">
        <v>45166</v>
      </c>
      <c r="C168" s="1" t="n">
        <v>46135</v>
      </c>
      <c r="D168" t="inlineStr">
        <is>
          <t>VÄSTRA GÖTALANDS LÄN</t>
        </is>
      </c>
      <c r="E168" t="inlineStr">
        <is>
          <t>ULRICEHAMN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38595-2023</t>
        </is>
      </c>
      <c r="B169" s="1" t="n">
        <v>45162.64134259259</v>
      </c>
      <c r="C169" s="1" t="n">
        <v>46135</v>
      </c>
      <c r="D169" t="inlineStr">
        <is>
          <t>VÄSTRA GÖTALANDS LÄN</t>
        </is>
      </c>
      <c r="E169" t="inlineStr">
        <is>
          <t>ULRICEHAMN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56830-2022</t>
        </is>
      </c>
      <c r="B170" s="1" t="n">
        <v>44894</v>
      </c>
      <c r="C170" s="1" t="n">
        <v>46135</v>
      </c>
      <c r="D170" t="inlineStr">
        <is>
          <t>VÄSTRA GÖTALANDS LÄN</t>
        </is>
      </c>
      <c r="E170" t="inlineStr">
        <is>
          <t>ULRICEHAMN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46947-2024</t>
        </is>
      </c>
      <c r="B171" s="1" t="n">
        <v>45585.79972222223</v>
      </c>
      <c r="C171" s="1" t="n">
        <v>46135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42544-2022</t>
        </is>
      </c>
      <c r="B172" s="1" t="n">
        <v>44831</v>
      </c>
      <c r="C172" s="1" t="n">
        <v>46135</v>
      </c>
      <c r="D172" t="inlineStr">
        <is>
          <t>VÄSTRA GÖTALANDS LÄN</t>
        </is>
      </c>
      <c r="E172" t="inlineStr">
        <is>
          <t>ULRICEHAMN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52717-2023</t>
        </is>
      </c>
      <c r="B173" s="1" t="n">
        <v>45225.86696759259</v>
      </c>
      <c r="C173" s="1" t="n">
        <v>46135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26893-2023</t>
        </is>
      </c>
      <c r="B174" s="1" t="n">
        <v>45093.59811342593</v>
      </c>
      <c r="C174" s="1" t="n">
        <v>46135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44930-2023</t>
        </is>
      </c>
      <c r="B175" s="1" t="n">
        <v>45190</v>
      </c>
      <c r="C175" s="1" t="n">
        <v>46135</v>
      </c>
      <c r="D175" t="inlineStr">
        <is>
          <t>VÄSTRA GÖTALANDS LÄN</t>
        </is>
      </c>
      <c r="E175" t="inlineStr">
        <is>
          <t>ULRICEHAMN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6833-2025</t>
        </is>
      </c>
      <c r="B176" s="1" t="n">
        <v>45700.75775462963</v>
      </c>
      <c r="C176" s="1" t="n">
        <v>46135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38666-2023</t>
        </is>
      </c>
      <c r="B177" s="1" t="n">
        <v>45162</v>
      </c>
      <c r="C177" s="1" t="n">
        <v>46135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61908-2021</t>
        </is>
      </c>
      <c r="B178" s="1" t="n">
        <v>44501</v>
      </c>
      <c r="C178" s="1" t="n">
        <v>46135</v>
      </c>
      <c r="D178" t="inlineStr">
        <is>
          <t>VÄSTRA GÖTALANDS LÄN</t>
        </is>
      </c>
      <c r="E178" t="inlineStr">
        <is>
          <t>ULRICEHAMN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9208-2024</t>
        </is>
      </c>
      <c r="B179" s="1" t="n">
        <v>45357</v>
      </c>
      <c r="C179" s="1" t="n">
        <v>46135</v>
      </c>
      <c r="D179" t="inlineStr">
        <is>
          <t>VÄSTRA GÖTALANDS LÄN</t>
        </is>
      </c>
      <c r="E179" t="inlineStr">
        <is>
          <t>ULRICEHAMN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12727-2024</t>
        </is>
      </c>
      <c r="B180" s="1" t="n">
        <v>45384.48908564815</v>
      </c>
      <c r="C180" s="1" t="n">
        <v>46135</v>
      </c>
      <c r="D180" t="inlineStr">
        <is>
          <t>VÄSTRA GÖTALANDS LÄN</t>
        </is>
      </c>
      <c r="E180" t="inlineStr">
        <is>
          <t>ULRICEHAMN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38775-2023</t>
        </is>
      </c>
      <c r="B181" s="1" t="n">
        <v>45163.43252314815</v>
      </c>
      <c r="C181" s="1" t="n">
        <v>46135</v>
      </c>
      <c r="D181" t="inlineStr">
        <is>
          <t>VÄSTRA GÖTALANDS LÄN</t>
        </is>
      </c>
      <c r="E181" t="inlineStr">
        <is>
          <t>ULRICEHAMN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5327-2023</t>
        </is>
      </c>
      <c r="B182" s="1" t="n">
        <v>44959</v>
      </c>
      <c r="C182" s="1" t="n">
        <v>46135</v>
      </c>
      <c r="D182" t="inlineStr">
        <is>
          <t>VÄSTRA GÖTALANDS LÄN</t>
        </is>
      </c>
      <c r="E182" t="inlineStr">
        <is>
          <t>ULRICEHAMN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49506-2023</t>
        </is>
      </c>
      <c r="B183" s="1" t="n">
        <v>45211.57574074074</v>
      </c>
      <c r="C183" s="1" t="n">
        <v>46135</v>
      </c>
      <c r="D183" t="inlineStr">
        <is>
          <t>VÄSTRA GÖTALANDS LÄN</t>
        </is>
      </c>
      <c r="E183" t="inlineStr">
        <is>
          <t>ULRICEHAMN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49825-2024</t>
        </is>
      </c>
      <c r="B184" s="1" t="n">
        <v>45597.40795138889</v>
      </c>
      <c r="C184" s="1" t="n">
        <v>46135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50806-2024</t>
        </is>
      </c>
      <c r="B185" s="1" t="n">
        <v>45602.51206018519</v>
      </c>
      <c r="C185" s="1" t="n">
        <v>46135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42438-2024</t>
        </is>
      </c>
      <c r="B186" s="1" t="n">
        <v>45565</v>
      </c>
      <c r="C186" s="1" t="n">
        <v>46135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52712-2023</t>
        </is>
      </c>
      <c r="B187" s="1" t="n">
        <v>45225.84898148148</v>
      </c>
      <c r="C187" s="1" t="n">
        <v>46135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52714-2023</t>
        </is>
      </c>
      <c r="B188" s="1" t="n">
        <v>45225.85842592592</v>
      </c>
      <c r="C188" s="1" t="n">
        <v>46135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57098-2022</t>
        </is>
      </c>
      <c r="B189" s="1" t="n">
        <v>44895.48936342593</v>
      </c>
      <c r="C189" s="1" t="n">
        <v>46135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58204-2023</t>
        </is>
      </c>
      <c r="B190" s="1" t="n">
        <v>45250</v>
      </c>
      <c r="C190" s="1" t="n">
        <v>46135</v>
      </c>
      <c r="D190" t="inlineStr">
        <is>
          <t>VÄSTRA GÖTALANDS LÄN</t>
        </is>
      </c>
      <c r="E190" t="inlineStr">
        <is>
          <t>ULRICEHAMN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24713-2023</t>
        </is>
      </c>
      <c r="B191" s="1" t="n">
        <v>45084.5583449074</v>
      </c>
      <c r="C191" s="1" t="n">
        <v>46135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398-2025</t>
        </is>
      </c>
      <c r="B192" s="1" t="n">
        <v>45663</v>
      </c>
      <c r="C192" s="1" t="n">
        <v>46135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20484-2025</t>
        </is>
      </c>
      <c r="B193" s="1" t="n">
        <v>45775.56006944444</v>
      </c>
      <c r="C193" s="1" t="n">
        <v>46135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37791-2023</t>
        </is>
      </c>
      <c r="B194" s="1" t="n">
        <v>45159</v>
      </c>
      <c r="C194" s="1" t="n">
        <v>46135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28888-2023</t>
        </is>
      </c>
      <c r="B195" s="1" t="n">
        <v>45104</v>
      </c>
      <c r="C195" s="1" t="n">
        <v>46135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14038-2023</t>
        </is>
      </c>
      <c r="B196" s="1" t="n">
        <v>45008</v>
      </c>
      <c r="C196" s="1" t="n">
        <v>46135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55323-2022</t>
        </is>
      </c>
      <c r="B197" s="1" t="n">
        <v>44887.42815972222</v>
      </c>
      <c r="C197" s="1" t="n">
        <v>46135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30664-2022</t>
        </is>
      </c>
      <c r="B198" s="1" t="n">
        <v>44763</v>
      </c>
      <c r="C198" s="1" t="n">
        <v>46135</v>
      </c>
      <c r="D198" t="inlineStr">
        <is>
          <t>VÄSTRA GÖTALANDS LÄN</t>
        </is>
      </c>
      <c r="E198" t="inlineStr">
        <is>
          <t>ULRICEHAMN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24041-2022</t>
        </is>
      </c>
      <c r="B199" s="1" t="n">
        <v>44724.59394675926</v>
      </c>
      <c r="C199" s="1" t="n">
        <v>46135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4772-2024</t>
        </is>
      </c>
      <c r="B200" s="1" t="n">
        <v>45328.72829861111</v>
      </c>
      <c r="C200" s="1" t="n">
        <v>46135</v>
      </c>
      <c r="D200" t="inlineStr">
        <is>
          <t>VÄSTRA GÖTALANDS LÄN</t>
        </is>
      </c>
      <c r="E200" t="inlineStr">
        <is>
          <t>ULRICEHAMN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13789-2026</t>
        </is>
      </c>
      <c r="B201" s="1" t="n">
        <v>46097.71680555555</v>
      </c>
      <c r="C201" s="1" t="n">
        <v>46135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23176-2021</t>
        </is>
      </c>
      <c r="B202" s="1" t="n">
        <v>44333</v>
      </c>
      <c r="C202" s="1" t="n">
        <v>46135</v>
      </c>
      <c r="D202" t="inlineStr">
        <is>
          <t>VÄSTRA GÖTALANDS LÄN</t>
        </is>
      </c>
      <c r="E202" t="inlineStr">
        <is>
          <t>ULRICEHAMN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39403-2025</t>
        </is>
      </c>
      <c r="B203" s="1" t="n">
        <v>45889.63668981481</v>
      </c>
      <c r="C203" s="1" t="n">
        <v>46135</v>
      </c>
      <c r="D203" t="inlineStr">
        <is>
          <t>VÄSTRA GÖTALANDS LÄN</t>
        </is>
      </c>
      <c r="E203" t="inlineStr">
        <is>
          <t>ULRICEHAMN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39407-2025</t>
        </is>
      </c>
      <c r="B204" s="1" t="n">
        <v>45889.63934027778</v>
      </c>
      <c r="C204" s="1" t="n">
        <v>46135</v>
      </c>
      <c r="D204" t="inlineStr">
        <is>
          <t>VÄSTRA GÖTALANDS LÄN</t>
        </is>
      </c>
      <c r="E204" t="inlineStr">
        <is>
          <t>ULRICEHAMN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24283-2025</t>
        </is>
      </c>
      <c r="B205" s="1" t="n">
        <v>45797.45854166667</v>
      </c>
      <c r="C205" s="1" t="n">
        <v>46135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32788-2023</t>
        </is>
      </c>
      <c r="B206" s="1" t="n">
        <v>45124.37938657407</v>
      </c>
      <c r="C206" s="1" t="n">
        <v>46135</v>
      </c>
      <c r="D206" t="inlineStr">
        <is>
          <t>VÄSTRA GÖTALANDS LÄN</t>
        </is>
      </c>
      <c r="E206" t="inlineStr">
        <is>
          <t>ULRICEHAMN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19867-2022</t>
        </is>
      </c>
      <c r="B207" s="1" t="n">
        <v>44697.32734953704</v>
      </c>
      <c r="C207" s="1" t="n">
        <v>46135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39404-2025</t>
        </is>
      </c>
      <c r="B208" s="1" t="n">
        <v>45889.63811342593</v>
      </c>
      <c r="C208" s="1" t="n">
        <v>46135</v>
      </c>
      <c r="D208" t="inlineStr">
        <is>
          <t>VÄSTRA GÖTALANDS LÄN</t>
        </is>
      </c>
      <c r="E208" t="inlineStr">
        <is>
          <t>ULRICEHAMN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6804-2026</t>
        </is>
      </c>
      <c r="B209" s="1" t="n">
        <v>46055</v>
      </c>
      <c r="C209" s="1" t="n">
        <v>46135</v>
      </c>
      <c r="D209" t="inlineStr">
        <is>
          <t>VÄSTRA GÖTALANDS LÄN</t>
        </is>
      </c>
      <c r="E209" t="inlineStr">
        <is>
          <t>ULRICEHAMN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23937-2025</t>
        </is>
      </c>
      <c r="B210" s="1" t="n">
        <v>45795.90994212963</v>
      </c>
      <c r="C210" s="1" t="n">
        <v>46135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13788-2026</t>
        </is>
      </c>
      <c r="B211" s="1" t="n">
        <v>46097.70900462963</v>
      </c>
      <c r="C211" s="1" t="n">
        <v>46135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17563-2025</t>
        </is>
      </c>
      <c r="B212" s="1" t="n">
        <v>45757.63945601852</v>
      </c>
      <c r="C212" s="1" t="n">
        <v>46135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17586-2025</t>
        </is>
      </c>
      <c r="B213" s="1" t="n">
        <v>45757.67545138889</v>
      </c>
      <c r="C213" s="1" t="n">
        <v>46135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17588-2025</t>
        </is>
      </c>
      <c r="B214" s="1" t="n">
        <v>45757.67739583334</v>
      </c>
      <c r="C214" s="1" t="n">
        <v>46135</v>
      </c>
      <c r="D214" t="inlineStr">
        <is>
          <t>VÄSTRA GÖTALANDS LÄN</t>
        </is>
      </c>
      <c r="E214" t="inlineStr">
        <is>
          <t>ULRICEHAMN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39401-2025</t>
        </is>
      </c>
      <c r="B215" s="1" t="n">
        <v>45889.63513888889</v>
      </c>
      <c r="C215" s="1" t="n">
        <v>46135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51137-2024</t>
        </is>
      </c>
      <c r="B216" s="1" t="n">
        <v>45603.53729166667</v>
      </c>
      <c r="C216" s="1" t="n">
        <v>46135</v>
      </c>
      <c r="D216" t="inlineStr">
        <is>
          <t>VÄSTRA GÖTALANDS LÄN</t>
        </is>
      </c>
      <c r="E216" t="inlineStr">
        <is>
          <t>ULRICEHAMN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56833-2022</t>
        </is>
      </c>
      <c r="B217" s="1" t="n">
        <v>44894.45989583333</v>
      </c>
      <c r="C217" s="1" t="n">
        <v>46135</v>
      </c>
      <c r="D217" t="inlineStr">
        <is>
          <t>VÄSTRA GÖTALANDS LÄN</t>
        </is>
      </c>
      <c r="E217" t="inlineStr">
        <is>
          <t>ULRICEHAMN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2309-2022</t>
        </is>
      </c>
      <c r="B218" s="1" t="n">
        <v>44578.76435185185</v>
      </c>
      <c r="C218" s="1" t="n">
        <v>46135</v>
      </c>
      <c r="D218" t="inlineStr">
        <is>
          <t>VÄSTRA GÖTALANDS LÄN</t>
        </is>
      </c>
      <c r="E218" t="inlineStr">
        <is>
          <t>ULRICEHAMN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39493-2025</t>
        </is>
      </c>
      <c r="B219" s="1" t="n">
        <v>45890.37572916667</v>
      </c>
      <c r="C219" s="1" t="n">
        <v>46135</v>
      </c>
      <c r="D219" t="inlineStr">
        <is>
          <t>VÄSTRA GÖTALANDS LÄN</t>
        </is>
      </c>
      <c r="E219" t="inlineStr">
        <is>
          <t>ULRICEHAMN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25173-2023</t>
        </is>
      </c>
      <c r="B220" s="1" t="n">
        <v>45086</v>
      </c>
      <c r="C220" s="1" t="n">
        <v>46135</v>
      </c>
      <c r="D220" t="inlineStr">
        <is>
          <t>VÄSTRA GÖTALANDS LÄN</t>
        </is>
      </c>
      <c r="E220" t="inlineStr">
        <is>
          <t>ULRICEHAMN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39762-2024</t>
        </is>
      </c>
      <c r="B221" s="1" t="n">
        <v>45552.70372685185</v>
      </c>
      <c r="C221" s="1" t="n">
        <v>46135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39763-2024</t>
        </is>
      </c>
      <c r="B222" s="1" t="n">
        <v>45552.70619212963</v>
      </c>
      <c r="C222" s="1" t="n">
        <v>46135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39462-2025</t>
        </is>
      </c>
      <c r="B223" s="1" t="n">
        <v>45889.89510416667</v>
      </c>
      <c r="C223" s="1" t="n">
        <v>46135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6886-2026</t>
        </is>
      </c>
      <c r="B224" s="1" t="n">
        <v>46057.46802083333</v>
      </c>
      <c r="C224" s="1" t="n">
        <v>46135</v>
      </c>
      <c r="D224" t="inlineStr">
        <is>
          <t>VÄSTRA GÖTALANDS LÄN</t>
        </is>
      </c>
      <c r="E224" t="inlineStr">
        <is>
          <t>ULRICEHAMN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21830-2025</t>
        </is>
      </c>
      <c r="B225" s="1" t="n">
        <v>45784.26109953703</v>
      </c>
      <c r="C225" s="1" t="n">
        <v>46135</v>
      </c>
      <c r="D225" t="inlineStr">
        <is>
          <t>VÄSTRA GÖTALANDS LÄN</t>
        </is>
      </c>
      <c r="E225" t="inlineStr">
        <is>
          <t>ULRICEHAMN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40367-2025</t>
        </is>
      </c>
      <c r="B226" s="1" t="n">
        <v>45895.50241898148</v>
      </c>
      <c r="C226" s="1" t="n">
        <v>46135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40397-2025</t>
        </is>
      </c>
      <c r="B227" s="1" t="n">
        <v>45895.5594212963</v>
      </c>
      <c r="C227" s="1" t="n">
        <v>46135</v>
      </c>
      <c r="D227" t="inlineStr">
        <is>
          <t>VÄSTRA GÖTALANDS LÄN</t>
        </is>
      </c>
      <c r="E227" t="inlineStr">
        <is>
          <t>ULRICEHAMN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40345-2025</t>
        </is>
      </c>
      <c r="B228" s="1" t="n">
        <v>45895</v>
      </c>
      <c r="C228" s="1" t="n">
        <v>46135</v>
      </c>
      <c r="D228" t="inlineStr">
        <is>
          <t>VÄSTRA GÖTALANDS LÄN</t>
        </is>
      </c>
      <c r="E228" t="inlineStr">
        <is>
          <t>ULRICEHAMN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40365-2025</t>
        </is>
      </c>
      <c r="B229" s="1" t="n">
        <v>45895.49549768519</v>
      </c>
      <c r="C229" s="1" t="n">
        <v>46135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7267-2024</t>
        </is>
      </c>
      <c r="B230" s="1" t="n">
        <v>45344.83107638889</v>
      </c>
      <c r="C230" s="1" t="n">
        <v>46135</v>
      </c>
      <c r="D230" t="inlineStr">
        <is>
          <t>VÄSTRA GÖTALANDS LÄN</t>
        </is>
      </c>
      <c r="E230" t="inlineStr">
        <is>
          <t>ULRICEHAMN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40408-2025</t>
        </is>
      </c>
      <c r="B231" s="1" t="n">
        <v>45895.57215277778</v>
      </c>
      <c r="C231" s="1" t="n">
        <v>46135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40425-2025</t>
        </is>
      </c>
      <c r="B232" s="1" t="n">
        <v>45895.58871527778</v>
      </c>
      <c r="C232" s="1" t="n">
        <v>46135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34448-2023</t>
        </is>
      </c>
      <c r="B233" s="1" t="n">
        <v>45139</v>
      </c>
      <c r="C233" s="1" t="n">
        <v>46135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60556-2024</t>
        </is>
      </c>
      <c r="B234" s="1" t="n">
        <v>45643.87871527778</v>
      </c>
      <c r="C234" s="1" t="n">
        <v>46135</v>
      </c>
      <c r="D234" t="inlineStr">
        <is>
          <t>VÄSTRA GÖTALANDS LÄN</t>
        </is>
      </c>
      <c r="E234" t="inlineStr">
        <is>
          <t>ULRICEHAMN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60016-2023</t>
        </is>
      </c>
      <c r="B235" s="1" t="n">
        <v>45258.26849537037</v>
      </c>
      <c r="C235" s="1" t="n">
        <v>46135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16475-2024</t>
        </is>
      </c>
      <c r="B236" s="1" t="n">
        <v>45408.24853009259</v>
      </c>
      <c r="C236" s="1" t="n">
        <v>46135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14661-2026</t>
        </is>
      </c>
      <c r="B237" s="1" t="n">
        <v>46101.44216435185</v>
      </c>
      <c r="C237" s="1" t="n">
        <v>46135</v>
      </c>
      <c r="D237" t="inlineStr">
        <is>
          <t>VÄSTRA GÖTALANDS LÄN</t>
        </is>
      </c>
      <c r="E237" t="inlineStr">
        <is>
          <t>ULRICEHAMN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2669-2024</t>
        </is>
      </c>
      <c r="B238" s="1" t="n">
        <v>45314.40929398148</v>
      </c>
      <c r="C238" s="1" t="n">
        <v>46135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40563-2025</t>
        </is>
      </c>
      <c r="B239" s="1" t="n">
        <v>45896.46121527778</v>
      </c>
      <c r="C239" s="1" t="n">
        <v>46135</v>
      </c>
      <c r="D239" t="inlineStr">
        <is>
          <t>VÄSTRA GÖTALANDS LÄN</t>
        </is>
      </c>
      <c r="E239" t="inlineStr">
        <is>
          <t>ULRICEHAMN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26350-2022</t>
        </is>
      </c>
      <c r="B240" s="1" t="n">
        <v>44735.63233796296</v>
      </c>
      <c r="C240" s="1" t="n">
        <v>46135</v>
      </c>
      <c r="D240" t="inlineStr">
        <is>
          <t>VÄSTRA GÖTALANDS LÄN</t>
        </is>
      </c>
      <c r="E240" t="inlineStr">
        <is>
          <t>ULRICEHAMN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40564-2025</t>
        </is>
      </c>
      <c r="B241" s="1" t="n">
        <v>45896.46381944444</v>
      </c>
      <c r="C241" s="1" t="n">
        <v>46135</v>
      </c>
      <c r="D241" t="inlineStr">
        <is>
          <t>VÄSTRA GÖTALANDS LÄN</t>
        </is>
      </c>
      <c r="E241" t="inlineStr">
        <is>
          <t>ULRICEHAMN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59067-2024</t>
        </is>
      </c>
      <c r="B242" s="1" t="n">
        <v>45636.94935185185</v>
      </c>
      <c r="C242" s="1" t="n">
        <v>46135</v>
      </c>
      <c r="D242" t="inlineStr">
        <is>
          <t>VÄSTRA GÖTALANDS LÄN</t>
        </is>
      </c>
      <c r="E242" t="inlineStr">
        <is>
          <t>ULRICEHAMN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14660-2026</t>
        </is>
      </c>
      <c r="B243" s="1" t="n">
        <v>46101.44128472222</v>
      </c>
      <c r="C243" s="1" t="n">
        <v>46135</v>
      </c>
      <c r="D243" t="inlineStr">
        <is>
          <t>VÄSTRA GÖTALANDS LÄN</t>
        </is>
      </c>
      <c r="E243" t="inlineStr">
        <is>
          <t>ULRICEHAMN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41492-2025</t>
        </is>
      </c>
      <c r="B244" s="1" t="n">
        <v>45901.48925925926</v>
      </c>
      <c r="C244" s="1" t="n">
        <v>46135</v>
      </c>
      <c r="D244" t="inlineStr">
        <is>
          <t>VÄSTRA GÖTALANDS LÄN</t>
        </is>
      </c>
      <c r="E244" t="inlineStr">
        <is>
          <t>ULRICEHAMN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12401-2024</t>
        </is>
      </c>
      <c r="B245" s="1" t="n">
        <v>45379.38784722222</v>
      </c>
      <c r="C245" s="1" t="n">
        <v>46135</v>
      </c>
      <c r="D245" t="inlineStr">
        <is>
          <t>VÄSTRA GÖTALANDS LÄN</t>
        </is>
      </c>
      <c r="E245" t="inlineStr">
        <is>
          <t>ULRICEHAMN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19833-2025</t>
        </is>
      </c>
      <c r="B246" s="1" t="n">
        <v>45771.4696875</v>
      </c>
      <c r="C246" s="1" t="n">
        <v>46135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13513-2023</t>
        </is>
      </c>
      <c r="B247" s="1" t="n">
        <v>45006.30979166667</v>
      </c>
      <c r="C247" s="1" t="n">
        <v>46135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62631-2023</t>
        </is>
      </c>
      <c r="B248" s="1" t="n">
        <v>45271</v>
      </c>
      <c r="C248" s="1" t="n">
        <v>46135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24922-2024</t>
        </is>
      </c>
      <c r="B249" s="1" t="n">
        <v>45461.60770833334</v>
      </c>
      <c r="C249" s="1" t="n">
        <v>46135</v>
      </c>
      <c r="D249" t="inlineStr">
        <is>
          <t>VÄSTRA GÖTALANDS LÄN</t>
        </is>
      </c>
      <c r="E249" t="inlineStr">
        <is>
          <t>ULRICEHAMN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16433-2025</t>
        </is>
      </c>
      <c r="B250" s="1" t="n">
        <v>45751.48168981481</v>
      </c>
      <c r="C250" s="1" t="n">
        <v>46135</v>
      </c>
      <c r="D250" t="inlineStr">
        <is>
          <t>VÄSTRA GÖTALANDS LÄN</t>
        </is>
      </c>
      <c r="E250" t="inlineStr">
        <is>
          <t>ULRICEHAMN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44301-2024</t>
        </is>
      </c>
      <c r="B251" s="1" t="n">
        <v>45573.55783564815</v>
      </c>
      <c r="C251" s="1" t="n">
        <v>46135</v>
      </c>
      <c r="D251" t="inlineStr">
        <is>
          <t>VÄSTRA GÖTALANDS LÄN</t>
        </is>
      </c>
      <c r="E251" t="inlineStr">
        <is>
          <t>ULRICEHAMN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7647-2026</t>
        </is>
      </c>
      <c r="B252" s="1" t="n">
        <v>46062.37981481481</v>
      </c>
      <c r="C252" s="1" t="n">
        <v>46135</v>
      </c>
      <c r="D252" t="inlineStr">
        <is>
          <t>VÄSTRA GÖTALANDS LÄN</t>
        </is>
      </c>
      <c r="E252" t="inlineStr">
        <is>
          <t>ULRICEHAMN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16895-2023</t>
        </is>
      </c>
      <c r="B253" s="1" t="n">
        <v>45033.56310185185</v>
      </c>
      <c r="C253" s="1" t="n">
        <v>46135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55264-2023</t>
        </is>
      </c>
      <c r="B254" s="1" t="n">
        <v>45237.66819444444</v>
      </c>
      <c r="C254" s="1" t="n">
        <v>46135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38182-2023</t>
        </is>
      </c>
      <c r="B255" s="1" t="n">
        <v>45161.46265046296</v>
      </c>
      <c r="C255" s="1" t="n">
        <v>46135</v>
      </c>
      <c r="D255" t="inlineStr">
        <is>
          <t>VÄSTRA GÖTALANDS LÄN</t>
        </is>
      </c>
      <c r="E255" t="inlineStr">
        <is>
          <t>ULRICEHAMN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42580-2025</t>
        </is>
      </c>
      <c r="B256" s="1" t="n">
        <v>45905.62414351852</v>
      </c>
      <c r="C256" s="1" t="n">
        <v>46135</v>
      </c>
      <c r="D256" t="inlineStr">
        <is>
          <t>VÄSTRA GÖTALANDS LÄN</t>
        </is>
      </c>
      <c r="E256" t="inlineStr">
        <is>
          <t>ULRICEHAMN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20357-2022</t>
        </is>
      </c>
      <c r="B257" s="1" t="n">
        <v>44699</v>
      </c>
      <c r="C257" s="1" t="n">
        <v>46135</v>
      </c>
      <c r="D257" t="inlineStr">
        <is>
          <t>VÄSTRA GÖTALANDS LÄN</t>
        </is>
      </c>
      <c r="E257" t="inlineStr">
        <is>
          <t>ULRICEHAMN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42238-2025</t>
        </is>
      </c>
      <c r="B258" s="1" t="n">
        <v>45904.56431712963</v>
      </c>
      <c r="C258" s="1" t="n">
        <v>46135</v>
      </c>
      <c r="D258" t="inlineStr">
        <is>
          <t>VÄSTRA GÖTALANDS LÄN</t>
        </is>
      </c>
      <c r="E258" t="inlineStr">
        <is>
          <t>ULRICEHAMN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12169-2024</t>
        </is>
      </c>
      <c r="B259" s="1" t="n">
        <v>45377.86966435185</v>
      </c>
      <c r="C259" s="1" t="n">
        <v>46135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12170-2024</t>
        </is>
      </c>
      <c r="B260" s="1" t="n">
        <v>45377.88483796296</v>
      </c>
      <c r="C260" s="1" t="n">
        <v>46135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12173-2024</t>
        </is>
      </c>
      <c r="B261" s="1" t="n">
        <v>45377.89707175926</v>
      </c>
      <c r="C261" s="1" t="n">
        <v>46135</v>
      </c>
      <c r="D261" t="inlineStr">
        <is>
          <t>VÄSTRA GÖTALANDS LÄN</t>
        </is>
      </c>
      <c r="E261" t="inlineStr">
        <is>
          <t>ULRICEHAMN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2626-2025</t>
        </is>
      </c>
      <c r="B262" s="1" t="n">
        <v>45675.66943287037</v>
      </c>
      <c r="C262" s="1" t="n">
        <v>46135</v>
      </c>
      <c r="D262" t="inlineStr">
        <is>
          <t>VÄSTRA GÖTALANDS LÄN</t>
        </is>
      </c>
      <c r="E262" t="inlineStr">
        <is>
          <t>ULRICEHAMN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46345-2024</t>
        </is>
      </c>
      <c r="B263" s="1" t="n">
        <v>45582.31900462963</v>
      </c>
      <c r="C263" s="1" t="n">
        <v>46135</v>
      </c>
      <c r="D263" t="inlineStr">
        <is>
          <t>VÄSTRA GÖTALANDS LÄN</t>
        </is>
      </c>
      <c r="E263" t="inlineStr">
        <is>
          <t>ULRICEHAMN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16158-2026</t>
        </is>
      </c>
      <c r="B264" s="1" t="n">
        <v>46109</v>
      </c>
      <c r="C264" s="1" t="n">
        <v>46135</v>
      </c>
      <c r="D264" t="inlineStr">
        <is>
          <t>VÄSTRA GÖTALANDS LÄN</t>
        </is>
      </c>
      <c r="E264" t="inlineStr">
        <is>
          <t>ULRICEHAMN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42917-2025</t>
        </is>
      </c>
      <c r="B265" s="1" t="n">
        <v>45908.83663194445</v>
      </c>
      <c r="C265" s="1" t="n">
        <v>46135</v>
      </c>
      <c r="D265" t="inlineStr">
        <is>
          <t>VÄSTRA GÖTALANDS LÄN</t>
        </is>
      </c>
      <c r="E265" t="inlineStr">
        <is>
          <t>ULRICEHAMN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43014-2025</t>
        </is>
      </c>
      <c r="B266" s="1" t="n">
        <v>45909.49131944445</v>
      </c>
      <c r="C266" s="1" t="n">
        <v>46135</v>
      </c>
      <c r="D266" t="inlineStr">
        <is>
          <t>VÄSTRA GÖTALANDS LÄN</t>
        </is>
      </c>
      <c r="E266" t="inlineStr">
        <is>
          <t>ULRICEHAMN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43006-2025</t>
        </is>
      </c>
      <c r="B267" s="1" t="n">
        <v>45909.48016203703</v>
      </c>
      <c r="C267" s="1" t="n">
        <v>46135</v>
      </c>
      <c r="D267" t="inlineStr">
        <is>
          <t>VÄSTRA GÖTALANDS LÄN</t>
        </is>
      </c>
      <c r="E267" t="inlineStr">
        <is>
          <t>ULRICEHAMN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43009-2025</t>
        </is>
      </c>
      <c r="B268" s="1" t="n">
        <v>45909.4825</v>
      </c>
      <c r="C268" s="1" t="n">
        <v>46135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43010-2025</t>
        </is>
      </c>
      <c r="B269" s="1" t="n">
        <v>45909.48768518519</v>
      </c>
      <c r="C269" s="1" t="n">
        <v>46135</v>
      </c>
      <c r="D269" t="inlineStr">
        <is>
          <t>VÄSTRA GÖTALANDS LÄN</t>
        </is>
      </c>
      <c r="E269" t="inlineStr">
        <is>
          <t>ULRICEHAMN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7347-2023</t>
        </is>
      </c>
      <c r="B270" s="1" t="n">
        <v>44971</v>
      </c>
      <c r="C270" s="1" t="n">
        <v>46135</v>
      </c>
      <c r="D270" t="inlineStr">
        <is>
          <t>VÄSTRA GÖTALANDS LÄN</t>
        </is>
      </c>
      <c r="E270" t="inlineStr">
        <is>
          <t>ULRICEHAMN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48196-2022</t>
        </is>
      </c>
      <c r="B271" s="1" t="n">
        <v>44858</v>
      </c>
      <c r="C271" s="1" t="n">
        <v>46135</v>
      </c>
      <c r="D271" t="inlineStr">
        <is>
          <t>VÄSTRA GÖTALANDS LÄN</t>
        </is>
      </c>
      <c r="E271" t="inlineStr">
        <is>
          <t>ULRICEHAMN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13159-2025</t>
        </is>
      </c>
      <c r="B272" s="1" t="n">
        <v>45735.35841435185</v>
      </c>
      <c r="C272" s="1" t="n">
        <v>46135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9879-2024</t>
        </is>
      </c>
      <c r="B273" s="1" t="n">
        <v>45363.45396990741</v>
      </c>
      <c r="C273" s="1" t="n">
        <v>46135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27399-2024</t>
        </is>
      </c>
      <c r="B274" s="1" t="n">
        <v>45474.34578703704</v>
      </c>
      <c r="C274" s="1" t="n">
        <v>46135</v>
      </c>
      <c r="D274" t="inlineStr">
        <is>
          <t>VÄSTRA GÖTALANDS LÄN</t>
        </is>
      </c>
      <c r="E274" t="inlineStr">
        <is>
          <t>ULRICEHAMN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22416-2023</t>
        </is>
      </c>
      <c r="B275" s="1" t="n">
        <v>45070</v>
      </c>
      <c r="C275" s="1" t="n">
        <v>46135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46135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57249-2024</t>
        </is>
      </c>
      <c r="B277" s="1" t="n">
        <v>45629.55349537037</v>
      </c>
      <c r="C277" s="1" t="n">
        <v>46135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48242-2024</t>
        </is>
      </c>
      <c r="B278" s="1" t="n">
        <v>45590.39149305555</v>
      </c>
      <c r="C278" s="1" t="n">
        <v>46135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43478-2025</t>
        </is>
      </c>
      <c r="B279" s="1" t="n">
        <v>45911.49384259259</v>
      </c>
      <c r="C279" s="1" t="n">
        <v>46135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14599-2025</t>
        </is>
      </c>
      <c r="B280" s="1" t="n">
        <v>45742.36256944444</v>
      </c>
      <c r="C280" s="1" t="n">
        <v>46135</v>
      </c>
      <c r="D280" t="inlineStr">
        <is>
          <t>VÄSTRA GÖTALANDS LÄN</t>
        </is>
      </c>
      <c r="E280" t="inlineStr">
        <is>
          <t>ULRICEHAMN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43902-2025</t>
        </is>
      </c>
      <c r="B281" s="1" t="n">
        <v>45913.39210648148</v>
      </c>
      <c r="C281" s="1" t="n">
        <v>46135</v>
      </c>
      <c r="D281" t="inlineStr">
        <is>
          <t>VÄSTRA GÖTALANDS LÄN</t>
        </is>
      </c>
      <c r="E281" t="inlineStr">
        <is>
          <t>ULRICEHAMN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43901-2025</t>
        </is>
      </c>
      <c r="B282" s="1" t="n">
        <v>45913.36832175926</v>
      </c>
      <c r="C282" s="1" t="n">
        <v>46135</v>
      </c>
      <c r="D282" t="inlineStr">
        <is>
          <t>VÄSTRA GÖTALANDS LÄN</t>
        </is>
      </c>
      <c r="E282" t="inlineStr">
        <is>
          <t>ULRICEHAMN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44402-2024</t>
        </is>
      </c>
      <c r="B283" s="1" t="n">
        <v>45573.7084837963</v>
      </c>
      <c r="C283" s="1" t="n">
        <v>46135</v>
      </c>
      <c r="D283" t="inlineStr">
        <is>
          <t>VÄSTRA GÖTALANDS LÄN</t>
        </is>
      </c>
      <c r="E283" t="inlineStr">
        <is>
          <t>ULRICEHAMN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53088-2023</t>
        </is>
      </c>
      <c r="B284" s="1" t="n">
        <v>45227.69599537037</v>
      </c>
      <c r="C284" s="1" t="n">
        <v>46135</v>
      </c>
      <c r="D284" t="inlineStr">
        <is>
          <t>VÄSTRA GÖTALANDS LÄN</t>
        </is>
      </c>
      <c r="E284" t="inlineStr">
        <is>
          <t>ULRICEHAMN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43943-2023</t>
        </is>
      </c>
      <c r="B285" s="1" t="n">
        <v>45187</v>
      </c>
      <c r="C285" s="1" t="n">
        <v>46135</v>
      </c>
      <c r="D285" t="inlineStr">
        <is>
          <t>VÄSTRA GÖTALANDS LÄN</t>
        </is>
      </c>
      <c r="E285" t="inlineStr">
        <is>
          <t>ULRICEHAMN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59990-2023</t>
        </is>
      </c>
      <c r="B286" s="1" t="n">
        <v>45257.83363425926</v>
      </c>
      <c r="C286" s="1" t="n">
        <v>46135</v>
      </c>
      <c r="D286" t="inlineStr">
        <is>
          <t>VÄSTRA GÖTALANDS LÄN</t>
        </is>
      </c>
      <c r="E286" t="inlineStr">
        <is>
          <t>ULRICEHAMN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16657-2026</t>
        </is>
      </c>
      <c r="B287" s="1" t="n">
        <v>46112.65121527778</v>
      </c>
      <c r="C287" s="1" t="n">
        <v>46135</v>
      </c>
      <c r="D287" t="inlineStr">
        <is>
          <t>VÄSTRA GÖTALANDS LÄN</t>
        </is>
      </c>
      <c r="E287" t="inlineStr">
        <is>
          <t>ULRICEHAMN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44913-2025</t>
        </is>
      </c>
      <c r="B288" s="1" t="n">
        <v>45918.54395833334</v>
      </c>
      <c r="C288" s="1" t="n">
        <v>46135</v>
      </c>
      <c r="D288" t="inlineStr">
        <is>
          <t>VÄSTRA GÖTALANDS LÄN</t>
        </is>
      </c>
      <c r="E288" t="inlineStr">
        <is>
          <t>ULRICEHAMN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44818-2025</t>
        </is>
      </c>
      <c r="B289" s="1" t="n">
        <v>45918.37908564815</v>
      </c>
      <c r="C289" s="1" t="n">
        <v>46135</v>
      </c>
      <c r="D289" t="inlineStr">
        <is>
          <t>VÄSTRA GÖTALANDS LÄN</t>
        </is>
      </c>
      <c r="E289" t="inlineStr">
        <is>
          <t>ULRICEHAMN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5159-2025</t>
        </is>
      </c>
      <c r="B290" s="1" t="n">
        <v>45691.60857638889</v>
      </c>
      <c r="C290" s="1" t="n">
        <v>46135</v>
      </c>
      <c r="D290" t="inlineStr">
        <is>
          <t>VÄSTRA GÖTALANDS LÄN</t>
        </is>
      </c>
      <c r="E290" t="inlineStr">
        <is>
          <t>ULRICEHAMN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42761-2024</t>
        </is>
      </c>
      <c r="B291" s="1" t="n">
        <v>45566.49981481482</v>
      </c>
      <c r="C291" s="1" t="n">
        <v>46135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44834-2025</t>
        </is>
      </c>
      <c r="B292" s="1" t="n">
        <v>45918.41196759259</v>
      </c>
      <c r="C292" s="1" t="n">
        <v>46135</v>
      </c>
      <c r="D292" t="inlineStr">
        <is>
          <t>VÄSTRA GÖTALANDS LÄN</t>
        </is>
      </c>
      <c r="E292" t="inlineStr">
        <is>
          <t>ULRICEHAMN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9604-2026</t>
        </is>
      </c>
      <c r="B293" s="1" t="n">
        <v>46071.91928240741</v>
      </c>
      <c r="C293" s="1" t="n">
        <v>46135</v>
      </c>
      <c r="D293" t="inlineStr">
        <is>
          <t>VÄSTRA GÖTALANDS LÄN</t>
        </is>
      </c>
      <c r="E293" t="inlineStr">
        <is>
          <t>ULRICEHAMN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45637-2025</t>
        </is>
      </c>
      <c r="B294" s="1" t="n">
        <v>45922.85560185185</v>
      </c>
      <c r="C294" s="1" t="n">
        <v>46135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45638-2025</t>
        </is>
      </c>
      <c r="B295" s="1" t="n">
        <v>45922.85699074074</v>
      </c>
      <c r="C295" s="1" t="n">
        <v>46135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9906-2026</t>
        </is>
      </c>
      <c r="B296" s="1" t="n">
        <v>46073.41722222222</v>
      </c>
      <c r="C296" s="1" t="n">
        <v>46135</v>
      </c>
      <c r="D296" t="inlineStr">
        <is>
          <t>VÄSTRA GÖTALANDS LÄN</t>
        </is>
      </c>
      <c r="E296" t="inlineStr">
        <is>
          <t>ULRICEHAMN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9605-2026</t>
        </is>
      </c>
      <c r="B297" s="1" t="n">
        <v>46071.9225</v>
      </c>
      <c r="C297" s="1" t="n">
        <v>46135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17114-2026</t>
        </is>
      </c>
      <c r="B298" s="1" t="n">
        <v>46114.65253472222</v>
      </c>
      <c r="C298" s="1" t="n">
        <v>46135</v>
      </c>
      <c r="D298" t="inlineStr">
        <is>
          <t>VÄSTRA GÖTALANDS LÄN</t>
        </is>
      </c>
      <c r="E298" t="inlineStr">
        <is>
          <t>ULRICEHAMN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16680-2024</t>
        </is>
      </c>
      <c r="B299" s="1" t="n">
        <v>45408.68671296296</v>
      </c>
      <c r="C299" s="1" t="n">
        <v>46135</v>
      </c>
      <c r="D299" t="inlineStr">
        <is>
          <t>VÄSTRA GÖTALANDS LÄN</t>
        </is>
      </c>
      <c r="E299" t="inlineStr">
        <is>
          <t>ULRICEHAMN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17193-2026</t>
        </is>
      </c>
      <c r="B300" s="1" t="n">
        <v>46118.43548611111</v>
      </c>
      <c r="C300" s="1" t="n">
        <v>46135</v>
      </c>
      <c r="D300" t="inlineStr">
        <is>
          <t>VÄSTRA GÖTALANDS LÄN</t>
        </is>
      </c>
      <c r="E300" t="inlineStr">
        <is>
          <t>ULRICEHAMN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45751-2025</t>
        </is>
      </c>
      <c r="B301" s="1" t="n">
        <v>45923.48826388889</v>
      </c>
      <c r="C301" s="1" t="n">
        <v>46135</v>
      </c>
      <c r="D301" t="inlineStr">
        <is>
          <t>VÄSTRA GÖTALANDS LÄN</t>
        </is>
      </c>
      <c r="E301" t="inlineStr">
        <is>
          <t>ULRICEHAMN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46171-2025</t>
        </is>
      </c>
      <c r="B302" s="1" t="n">
        <v>45924.64631944444</v>
      </c>
      <c r="C302" s="1" t="n">
        <v>46135</v>
      </c>
      <c r="D302" t="inlineStr">
        <is>
          <t>VÄSTRA GÖTALANDS LÄN</t>
        </is>
      </c>
      <c r="E302" t="inlineStr">
        <is>
          <t>ULRICEHAMN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7363-2025</t>
        </is>
      </c>
      <c r="B303" s="1" t="n">
        <v>45704</v>
      </c>
      <c r="C303" s="1" t="n">
        <v>46135</v>
      </c>
      <c r="D303" t="inlineStr">
        <is>
          <t>VÄSTRA GÖTALANDS LÄN</t>
        </is>
      </c>
      <c r="E303" t="inlineStr">
        <is>
          <t>ULRICEHAMN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46910-2023</t>
        </is>
      </c>
      <c r="B304" s="1" t="n">
        <v>45201.37782407407</v>
      </c>
      <c r="C304" s="1" t="n">
        <v>46135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2944-2023</t>
        </is>
      </c>
      <c r="B305" s="1" t="n">
        <v>44945.61427083334</v>
      </c>
      <c r="C305" s="1" t="n">
        <v>46135</v>
      </c>
      <c r="D305" t="inlineStr">
        <is>
          <t>VÄSTRA GÖTALANDS LÄN</t>
        </is>
      </c>
      <c r="E305" t="inlineStr">
        <is>
          <t>ULRICEHAMN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5471-2024</t>
        </is>
      </c>
      <c r="B306" s="1" t="n">
        <v>45332</v>
      </c>
      <c r="C306" s="1" t="n">
        <v>46135</v>
      </c>
      <c r="D306" t="inlineStr">
        <is>
          <t>VÄSTRA GÖTALANDS LÄN</t>
        </is>
      </c>
      <c r="E306" t="inlineStr">
        <is>
          <t>ULRICEHAMN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33890-2023</t>
        </is>
      </c>
      <c r="B307" s="1" t="n">
        <v>45134.33009259259</v>
      </c>
      <c r="C307" s="1" t="n">
        <v>46135</v>
      </c>
      <c r="D307" t="inlineStr">
        <is>
          <t>VÄSTRA GÖTALANDS LÄN</t>
        </is>
      </c>
      <c r="E307" t="inlineStr">
        <is>
          <t>ULRICEHAMN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46395-2025</t>
        </is>
      </c>
      <c r="B308" s="1" t="n">
        <v>45925.54702546296</v>
      </c>
      <c r="C308" s="1" t="n">
        <v>46135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46396-2025</t>
        </is>
      </c>
      <c r="B309" s="1" t="n">
        <v>45925.54865740741</v>
      </c>
      <c r="C309" s="1" t="n">
        <v>46135</v>
      </c>
      <c r="D309" t="inlineStr">
        <is>
          <t>VÄSTRA GÖTALANDS LÄN</t>
        </is>
      </c>
      <c r="E309" t="inlineStr">
        <is>
          <t>ULRICEHAMN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33885-2023</t>
        </is>
      </c>
      <c r="B310" s="1" t="n">
        <v>45134.30709490741</v>
      </c>
      <c r="C310" s="1" t="n">
        <v>46135</v>
      </c>
      <c r="D310" t="inlineStr">
        <is>
          <t>VÄSTRA GÖTALANDS LÄN</t>
        </is>
      </c>
      <c r="E310" t="inlineStr">
        <is>
          <t>ULRICEHAMN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5066-2022</t>
        </is>
      </c>
      <c r="B311" s="1" t="n">
        <v>44593</v>
      </c>
      <c r="C311" s="1" t="n">
        <v>46135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40996-2024</t>
        </is>
      </c>
      <c r="B312" s="1" t="n">
        <v>45558.78303240741</v>
      </c>
      <c r="C312" s="1" t="n">
        <v>46135</v>
      </c>
      <c r="D312" t="inlineStr">
        <is>
          <t>VÄSTRA GÖTALANDS LÄN</t>
        </is>
      </c>
      <c r="E312" t="inlineStr">
        <is>
          <t>ULRICEHAMN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3684-2024</t>
        </is>
      </c>
      <c r="B313" s="1" t="n">
        <v>45321</v>
      </c>
      <c r="C313" s="1" t="n">
        <v>46135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56295-2023</t>
        </is>
      </c>
      <c r="B314" s="1" t="n">
        <v>45242</v>
      </c>
      <c r="C314" s="1" t="n">
        <v>46135</v>
      </c>
      <c r="D314" t="inlineStr">
        <is>
          <t>VÄSTRA GÖTALANDS LÄN</t>
        </is>
      </c>
      <c r="E314" t="inlineStr">
        <is>
          <t>ULRICEHAMN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46504-2025</t>
        </is>
      </c>
      <c r="B315" s="1" t="n">
        <v>45925.87936342593</v>
      </c>
      <c r="C315" s="1" t="n">
        <v>46135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37685-2022</t>
        </is>
      </c>
      <c r="B316" s="1" t="n">
        <v>44810.48689814815</v>
      </c>
      <c r="C316" s="1" t="n">
        <v>46135</v>
      </c>
      <c r="D316" t="inlineStr">
        <is>
          <t>VÄSTRA GÖTALANDS LÄN</t>
        </is>
      </c>
      <c r="E316" t="inlineStr">
        <is>
          <t>ULRICEHAMN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46532-2025</t>
        </is>
      </c>
      <c r="B317" s="1" t="n">
        <v>45926.33767361111</v>
      </c>
      <c r="C317" s="1" t="n">
        <v>46135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46534-2025</t>
        </is>
      </c>
      <c r="B318" s="1" t="n">
        <v>45926.34030092593</v>
      </c>
      <c r="C318" s="1" t="n">
        <v>46135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11959-2024</t>
        </is>
      </c>
      <c r="B319" s="1" t="n">
        <v>45376.7833912037</v>
      </c>
      <c r="C319" s="1" t="n">
        <v>46135</v>
      </c>
      <c r="D319" t="inlineStr">
        <is>
          <t>VÄSTRA GÖTALANDS LÄN</t>
        </is>
      </c>
      <c r="E319" t="inlineStr">
        <is>
          <t>ULRICEHAMN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10431-2026</t>
        </is>
      </c>
      <c r="B320" s="1" t="n">
        <v>46077</v>
      </c>
      <c r="C320" s="1" t="n">
        <v>46135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57854-2023</t>
        </is>
      </c>
      <c r="B321" s="1" t="n">
        <v>45247.43427083334</v>
      </c>
      <c r="C321" s="1" t="n">
        <v>46135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1177-2025</t>
        </is>
      </c>
      <c r="B322" s="1" t="n">
        <v>45667.34559027778</v>
      </c>
      <c r="C322" s="1" t="n">
        <v>46135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11287-2026</t>
        </is>
      </c>
      <c r="B323" s="1" t="n">
        <v>46080.60608796297</v>
      </c>
      <c r="C323" s="1" t="n">
        <v>46135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19038-2024</t>
        </is>
      </c>
      <c r="B324" s="1" t="n">
        <v>45427.6965625</v>
      </c>
      <c r="C324" s="1" t="n">
        <v>46135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17602-2026</t>
        </is>
      </c>
      <c r="B325" s="1" t="n">
        <v>46121.43251157407</v>
      </c>
      <c r="C325" s="1" t="n">
        <v>46135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11136-2026</t>
        </is>
      </c>
      <c r="B326" s="1" t="n">
        <v>46079.75648148148</v>
      </c>
      <c r="C326" s="1" t="n">
        <v>46135</v>
      </c>
      <c r="D326" t="inlineStr">
        <is>
          <t>VÄSTRA GÖTALANDS LÄN</t>
        </is>
      </c>
      <c r="E326" t="inlineStr">
        <is>
          <t>ULRICEHAMN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8982-2024</t>
        </is>
      </c>
      <c r="B327" s="1" t="n">
        <v>45357.52773148148</v>
      </c>
      <c r="C327" s="1" t="n">
        <v>46135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57571-2023</t>
        </is>
      </c>
      <c r="B328" s="1" t="n">
        <v>45246.52076388889</v>
      </c>
      <c r="C328" s="1" t="n">
        <v>46135</v>
      </c>
      <c r="D328" t="inlineStr">
        <is>
          <t>VÄSTRA GÖTALANDS LÄN</t>
        </is>
      </c>
      <c r="E328" t="inlineStr">
        <is>
          <t>ULRICEHAMN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51666-2024</t>
        </is>
      </c>
      <c r="B329" s="1" t="n">
        <v>45606.8416087963</v>
      </c>
      <c r="C329" s="1" t="n">
        <v>46135</v>
      </c>
      <c r="D329" t="inlineStr">
        <is>
          <t>VÄSTRA GÖTALANDS LÄN</t>
        </is>
      </c>
      <c r="E329" t="inlineStr">
        <is>
          <t>ULRICEHAMN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5190-2023</t>
        </is>
      </c>
      <c r="B330" s="1" t="n">
        <v>44959.34690972222</v>
      </c>
      <c r="C330" s="1" t="n">
        <v>46135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60976-2024</t>
        </is>
      </c>
      <c r="B331" s="1" t="n">
        <v>45645.4093287037</v>
      </c>
      <c r="C331" s="1" t="n">
        <v>46135</v>
      </c>
      <c r="D331" t="inlineStr">
        <is>
          <t>VÄSTRA GÖTALANDS LÄN</t>
        </is>
      </c>
      <c r="E331" t="inlineStr">
        <is>
          <t>ULRICEHAMN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9881-2024</t>
        </is>
      </c>
      <c r="B332" s="1" t="n">
        <v>45363.45472222222</v>
      </c>
      <c r="C332" s="1" t="n">
        <v>46135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5117-2025</t>
        </is>
      </c>
      <c r="B333" s="1" t="n">
        <v>45691.55537037037</v>
      </c>
      <c r="C333" s="1" t="n">
        <v>46135</v>
      </c>
      <c r="D333" t="inlineStr">
        <is>
          <t>VÄSTRA GÖTALANDS LÄN</t>
        </is>
      </c>
      <c r="E333" t="inlineStr">
        <is>
          <t>ULRICEHAMN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13082-2024</t>
        </is>
      </c>
      <c r="B334" s="1" t="n">
        <v>45385</v>
      </c>
      <c r="C334" s="1" t="n">
        <v>46135</v>
      </c>
      <c r="D334" t="inlineStr">
        <is>
          <t>VÄSTRA GÖTALANDS LÄN</t>
        </is>
      </c>
      <c r="E334" t="inlineStr">
        <is>
          <t>ULRICEHAMN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61508-2023</t>
        </is>
      </c>
      <c r="B335" s="1" t="n">
        <v>45265.27542824074</v>
      </c>
      <c r="C335" s="1" t="n">
        <v>46135</v>
      </c>
      <c r="D335" t="inlineStr">
        <is>
          <t>VÄSTRA GÖTALANDS LÄN</t>
        </is>
      </c>
      <c r="E335" t="inlineStr">
        <is>
          <t>ULRICEHAMN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61512-2023</t>
        </is>
      </c>
      <c r="B336" s="1" t="n">
        <v>45265.31153935185</v>
      </c>
      <c r="C336" s="1" t="n">
        <v>46135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7978-2026</t>
        </is>
      </c>
      <c r="B337" s="1" t="n">
        <v>46063</v>
      </c>
      <c r="C337" s="1" t="n">
        <v>46135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17856-2026</t>
        </is>
      </c>
      <c r="B338" s="1" t="n">
        <v>46122.49059027778</v>
      </c>
      <c r="C338" s="1" t="n">
        <v>46135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23331-2021</t>
        </is>
      </c>
      <c r="B339" s="1" t="n">
        <v>44333.51732638889</v>
      </c>
      <c r="C339" s="1" t="n">
        <v>46135</v>
      </c>
      <c r="D339" t="inlineStr">
        <is>
          <t>VÄSTRA GÖTALANDS LÄN</t>
        </is>
      </c>
      <c r="E339" t="inlineStr">
        <is>
          <t>ULRICEHAMN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47896-2025</t>
        </is>
      </c>
      <c r="B340" s="1" t="n">
        <v>45932.49059027778</v>
      </c>
      <c r="C340" s="1" t="n">
        <v>46135</v>
      </c>
      <c r="D340" t="inlineStr">
        <is>
          <t>VÄSTRA GÖTALANDS LÄN</t>
        </is>
      </c>
      <c r="E340" t="inlineStr">
        <is>
          <t>ULRICEHAMN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48294-2025</t>
        </is>
      </c>
      <c r="B341" s="1" t="n">
        <v>45933.6030787037</v>
      </c>
      <c r="C341" s="1" t="n">
        <v>46135</v>
      </c>
      <c r="D341" t="inlineStr">
        <is>
          <t>VÄSTRA GÖTALANDS LÄN</t>
        </is>
      </c>
      <c r="E341" t="inlineStr">
        <is>
          <t>ULRICEHAMN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48346-2025</t>
        </is>
      </c>
      <c r="B342" s="1" t="n">
        <v>45933.64770833333</v>
      </c>
      <c r="C342" s="1" t="n">
        <v>46135</v>
      </c>
      <c r="D342" t="inlineStr">
        <is>
          <t>VÄSTRA GÖTALANDS LÄN</t>
        </is>
      </c>
      <c r="E342" t="inlineStr">
        <is>
          <t>ULRICEHAMN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48358-2025</t>
        </is>
      </c>
      <c r="B343" s="1" t="n">
        <v>45933</v>
      </c>
      <c r="C343" s="1" t="n">
        <v>46135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7990-2026</t>
        </is>
      </c>
      <c r="B344" s="1" t="n">
        <v>46063</v>
      </c>
      <c r="C344" s="1" t="n">
        <v>46135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27865-2023</t>
        </is>
      </c>
      <c r="B345" s="1" t="n">
        <v>45098</v>
      </c>
      <c r="C345" s="1" t="n">
        <v>46135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63012-2023</t>
        </is>
      </c>
      <c r="B346" s="1" t="n">
        <v>45272.67701388889</v>
      </c>
      <c r="C346" s="1" t="n">
        <v>46135</v>
      </c>
      <c r="D346" t="inlineStr">
        <is>
          <t>VÄSTRA GÖTALANDS LÄN</t>
        </is>
      </c>
      <c r="E346" t="inlineStr">
        <is>
          <t>ULRICEHAMN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42675-2023</t>
        </is>
      </c>
      <c r="B347" s="1" t="n">
        <v>45181.56914351852</v>
      </c>
      <c r="C347" s="1" t="n">
        <v>46135</v>
      </c>
      <c r="D347" t="inlineStr">
        <is>
          <t>VÄSTRA GÖTALANDS LÄN</t>
        </is>
      </c>
      <c r="E347" t="inlineStr">
        <is>
          <t>ULRICEHAMN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7981-2026</t>
        </is>
      </c>
      <c r="B348" s="1" t="n">
        <v>46063</v>
      </c>
      <c r="C348" s="1" t="n">
        <v>46135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47894-2025</t>
        </is>
      </c>
      <c r="B349" s="1" t="n">
        <v>45932.47908564815</v>
      </c>
      <c r="C349" s="1" t="n">
        <v>46135</v>
      </c>
      <c r="D349" t="inlineStr">
        <is>
          <t>VÄSTRA GÖTALANDS LÄN</t>
        </is>
      </c>
      <c r="E349" t="inlineStr">
        <is>
          <t>ULRICEHAMN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29034-2024</t>
        </is>
      </c>
      <c r="B350" s="1" t="n">
        <v>45481.60545138889</v>
      </c>
      <c r="C350" s="1" t="n">
        <v>46135</v>
      </c>
      <c r="D350" t="inlineStr">
        <is>
          <t>VÄSTRA GÖTALANDS LÄN</t>
        </is>
      </c>
      <c r="E350" t="inlineStr">
        <is>
          <t>ULRICEHAMN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48407-2025</t>
        </is>
      </c>
      <c r="B351" s="1" t="n">
        <v>45934.39565972222</v>
      </c>
      <c r="C351" s="1" t="n">
        <v>46135</v>
      </c>
      <c r="D351" t="inlineStr">
        <is>
          <t>VÄSTRA GÖTALANDS LÄN</t>
        </is>
      </c>
      <c r="E351" t="inlineStr">
        <is>
          <t>ULRICEHAMN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48412-2025</t>
        </is>
      </c>
      <c r="B352" s="1" t="n">
        <v>45934.45826388889</v>
      </c>
      <c r="C352" s="1" t="n">
        <v>46135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48450-2025</t>
        </is>
      </c>
      <c r="B353" s="1" t="n">
        <v>45935.78211805555</v>
      </c>
      <c r="C353" s="1" t="n">
        <v>46135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48405-2025</t>
        </is>
      </c>
      <c r="B354" s="1" t="n">
        <v>45934.35324074074</v>
      </c>
      <c r="C354" s="1" t="n">
        <v>46135</v>
      </c>
      <c r="D354" t="inlineStr">
        <is>
          <t>VÄSTRA GÖTALANDS LÄN</t>
        </is>
      </c>
      <c r="E354" t="inlineStr">
        <is>
          <t>ULRICEHAMN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48411-2025</t>
        </is>
      </c>
      <c r="B355" s="1" t="n">
        <v>45934.45399305555</v>
      </c>
      <c r="C355" s="1" t="n">
        <v>46135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48416-2025</t>
        </is>
      </c>
      <c r="B356" s="1" t="n">
        <v>45934.52469907407</v>
      </c>
      <c r="C356" s="1" t="n">
        <v>46135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48406-2025</t>
        </is>
      </c>
      <c r="B357" s="1" t="n">
        <v>45934.38615740741</v>
      </c>
      <c r="C357" s="1" t="n">
        <v>46135</v>
      </c>
      <c r="D357" t="inlineStr">
        <is>
          <t>VÄSTRA GÖTALANDS LÄN</t>
        </is>
      </c>
      <c r="E357" t="inlineStr">
        <is>
          <t>ULRICEHAMN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25070-2023</t>
        </is>
      </c>
      <c r="B358" s="1" t="n">
        <v>45086</v>
      </c>
      <c r="C358" s="1" t="n">
        <v>46135</v>
      </c>
      <c r="D358" t="inlineStr">
        <is>
          <t>VÄSTRA GÖTALANDS LÄN</t>
        </is>
      </c>
      <c r="E358" t="inlineStr">
        <is>
          <t>ULRICEHAMN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48861-2025</t>
        </is>
      </c>
      <c r="B359" s="1" t="n">
        <v>45937.44197916667</v>
      </c>
      <c r="C359" s="1" t="n">
        <v>46135</v>
      </c>
      <c r="D359" t="inlineStr">
        <is>
          <t>VÄSTRA GÖTALANDS LÄN</t>
        </is>
      </c>
      <c r="E359" t="inlineStr">
        <is>
          <t>ULRICEHAMN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48915-2025</t>
        </is>
      </c>
      <c r="B360" s="1" t="n">
        <v>45937.49190972222</v>
      </c>
      <c r="C360" s="1" t="n">
        <v>46135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44565.71667824074</v>
      </c>
      <c r="C361" s="1" t="n">
        <v>46135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17989-2026</t>
        </is>
      </c>
      <c r="B362" s="1" t="n">
        <v>46124.70810185185</v>
      </c>
      <c r="C362" s="1" t="n">
        <v>46135</v>
      </c>
      <c r="D362" t="inlineStr">
        <is>
          <t>VÄSTRA GÖTALANDS LÄN</t>
        </is>
      </c>
      <c r="E362" t="inlineStr">
        <is>
          <t>ULRICEHAMN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48918-2025</t>
        </is>
      </c>
      <c r="B363" s="1" t="n">
        <v>45937.49298611111</v>
      </c>
      <c r="C363" s="1" t="n">
        <v>46135</v>
      </c>
      <c r="D363" t="inlineStr">
        <is>
          <t>VÄSTRA GÖTALANDS LÄN</t>
        </is>
      </c>
      <c r="E363" t="inlineStr">
        <is>
          <t>ULRICEHAMN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17988-2026</t>
        </is>
      </c>
      <c r="B364" s="1" t="n">
        <v>46124.69153935185</v>
      </c>
      <c r="C364" s="1" t="n">
        <v>46135</v>
      </c>
      <c r="D364" t="inlineStr">
        <is>
          <t>VÄSTRA GÖTALANDS LÄN</t>
        </is>
      </c>
      <c r="E364" t="inlineStr">
        <is>
          <t>ULRICEHAMN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18078-2026</t>
        </is>
      </c>
      <c r="B365" s="1" t="n">
        <v>46125.51228009259</v>
      </c>
      <c r="C365" s="1" t="n">
        <v>46135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18079-2026</t>
        </is>
      </c>
      <c r="B366" s="1" t="n">
        <v>46125.51619212963</v>
      </c>
      <c r="C366" s="1" t="n">
        <v>46135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49531-2025</t>
        </is>
      </c>
      <c r="B367" s="1" t="n">
        <v>45939.40844907407</v>
      </c>
      <c r="C367" s="1" t="n">
        <v>46135</v>
      </c>
      <c r="D367" t="inlineStr">
        <is>
          <t>VÄSTRA GÖTALANDS LÄN</t>
        </is>
      </c>
      <c r="E367" t="inlineStr">
        <is>
          <t>ULRICEHAMN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59076-2024</t>
        </is>
      </c>
      <c r="B368" s="1" t="n">
        <v>45637</v>
      </c>
      <c r="C368" s="1" t="n">
        <v>46135</v>
      </c>
      <c r="D368" t="inlineStr">
        <is>
          <t>VÄSTRA GÖTALANDS LÄN</t>
        </is>
      </c>
      <c r="E368" t="inlineStr">
        <is>
          <t>ULRICEHAMN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48995-2025</t>
        </is>
      </c>
      <c r="B369" s="1" t="n">
        <v>45937</v>
      </c>
      <c r="C369" s="1" t="n">
        <v>46135</v>
      </c>
      <c r="D369" t="inlineStr">
        <is>
          <t>VÄSTRA GÖTALANDS LÄN</t>
        </is>
      </c>
      <c r="E369" t="inlineStr">
        <is>
          <t>ULRICEHAMN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48990-2025</t>
        </is>
      </c>
      <c r="B370" s="1" t="n">
        <v>45937</v>
      </c>
      <c r="C370" s="1" t="n">
        <v>46135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18067-2026</t>
        </is>
      </c>
      <c r="B371" s="1" t="n">
        <v>46125.47972222222</v>
      </c>
      <c r="C371" s="1" t="n">
        <v>46135</v>
      </c>
      <c r="D371" t="inlineStr">
        <is>
          <t>VÄSTRA GÖTALANDS LÄN</t>
        </is>
      </c>
      <c r="E371" t="inlineStr">
        <is>
          <t>ULRICEHAMN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49547-2025</t>
        </is>
      </c>
      <c r="B372" s="1" t="n">
        <v>45939.4374537037</v>
      </c>
      <c r="C372" s="1" t="n">
        <v>46135</v>
      </c>
      <c r="D372" t="inlineStr">
        <is>
          <t>VÄSTRA GÖTALANDS LÄN</t>
        </is>
      </c>
      <c r="E372" t="inlineStr">
        <is>
          <t>ULRICEHAMN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18278-2026</t>
        </is>
      </c>
      <c r="B373" s="1" t="n">
        <v>46126.40865740741</v>
      </c>
      <c r="C373" s="1" t="n">
        <v>46135</v>
      </c>
      <c r="D373" t="inlineStr">
        <is>
          <t>VÄSTRA GÖTALANDS LÄN</t>
        </is>
      </c>
      <c r="E373" t="inlineStr">
        <is>
          <t>ULRICEHAMN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51392-2024</t>
        </is>
      </c>
      <c r="B374" s="1" t="n">
        <v>45604.41407407408</v>
      </c>
      <c r="C374" s="1" t="n">
        <v>46135</v>
      </c>
      <c r="D374" t="inlineStr">
        <is>
          <t>VÄSTRA GÖTALANDS LÄN</t>
        </is>
      </c>
      <c r="E374" t="inlineStr">
        <is>
          <t>ULRICEHAMN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49310-2025</t>
        </is>
      </c>
      <c r="B375" s="1" t="n">
        <v>45938.56295138889</v>
      </c>
      <c r="C375" s="1" t="n">
        <v>46135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49316-2025</t>
        </is>
      </c>
      <c r="B376" s="1" t="n">
        <v>45938.56658564815</v>
      </c>
      <c r="C376" s="1" t="n">
        <v>46135</v>
      </c>
      <c r="D376" t="inlineStr">
        <is>
          <t>VÄSTRA GÖTALANDS LÄN</t>
        </is>
      </c>
      <c r="E376" t="inlineStr">
        <is>
          <t>ULRICEHAMN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22407-2023</t>
        </is>
      </c>
      <c r="B377" s="1" t="n">
        <v>45070</v>
      </c>
      <c r="C377" s="1" t="n">
        <v>46135</v>
      </c>
      <c r="D377" t="inlineStr">
        <is>
          <t>VÄSTRA GÖTALANDS LÄN</t>
        </is>
      </c>
      <c r="E377" t="inlineStr">
        <is>
          <t>ULRICEHAMN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19416-2025</t>
        </is>
      </c>
      <c r="B378" s="1" t="n">
        <v>45769.70916666667</v>
      </c>
      <c r="C378" s="1" t="n">
        <v>46135</v>
      </c>
      <c r="D378" t="inlineStr">
        <is>
          <t>VÄSTRA GÖTALANDS LÄN</t>
        </is>
      </c>
      <c r="E378" t="inlineStr">
        <is>
          <t>ULRICEHAMN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18745-2026</t>
        </is>
      </c>
      <c r="B379" s="1" t="n">
        <v>46128.5268287037</v>
      </c>
      <c r="C379" s="1" t="n">
        <v>46135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Kyrkan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12934-2022</t>
        </is>
      </c>
      <c r="B380" s="1" t="n">
        <v>44642</v>
      </c>
      <c r="C380" s="1" t="n">
        <v>46135</v>
      </c>
      <c r="D380" t="inlineStr">
        <is>
          <t>VÄSTRA GÖTALANDS LÄN</t>
        </is>
      </c>
      <c r="E380" t="inlineStr">
        <is>
          <t>ULRICEHAMN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49545-2025</t>
        </is>
      </c>
      <c r="B381" s="1" t="n">
        <v>45939.43545138889</v>
      </c>
      <c r="C381" s="1" t="n">
        <v>46135</v>
      </c>
      <c r="D381" t="inlineStr">
        <is>
          <t>VÄSTRA GÖTALANDS LÄN</t>
        </is>
      </c>
      <c r="E381" t="inlineStr">
        <is>
          <t>ULRICEHAMN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49397-2025</t>
        </is>
      </c>
      <c r="B382" s="1" t="n">
        <v>45938.66553240741</v>
      </c>
      <c r="C382" s="1" t="n">
        <v>46135</v>
      </c>
      <c r="D382" t="inlineStr">
        <is>
          <t>VÄSTRA GÖTALANDS LÄN</t>
        </is>
      </c>
      <c r="E382" t="inlineStr">
        <is>
          <t>ULRICEHAMN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49466-2025</t>
        </is>
      </c>
      <c r="B383" s="1" t="n">
        <v>45939.33797453704</v>
      </c>
      <c r="C383" s="1" t="n">
        <v>46135</v>
      </c>
      <c r="D383" t="inlineStr">
        <is>
          <t>VÄSTRA GÖTALANDS LÄN</t>
        </is>
      </c>
      <c r="E383" t="inlineStr">
        <is>
          <t>ULRICEHAMN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49485-2025</t>
        </is>
      </c>
      <c r="B384" s="1" t="n">
        <v>45939.36217592593</v>
      </c>
      <c r="C384" s="1" t="n">
        <v>46135</v>
      </c>
      <c r="D384" t="inlineStr">
        <is>
          <t>VÄSTRA GÖTALANDS LÄN</t>
        </is>
      </c>
      <c r="E384" t="inlineStr">
        <is>
          <t>ULRICEHAMN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41108-2025</t>
        </is>
      </c>
      <c r="B385" s="1" t="n">
        <v>45898.45915509259</v>
      </c>
      <c r="C385" s="1" t="n">
        <v>46135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37328-2024</t>
        </is>
      </c>
      <c r="B386" s="1" t="n">
        <v>45540.50850694445</v>
      </c>
      <c r="C386" s="1" t="n">
        <v>46135</v>
      </c>
      <c r="D386" t="inlineStr">
        <is>
          <t>VÄSTRA GÖTALANDS LÄN</t>
        </is>
      </c>
      <c r="E386" t="inlineStr">
        <is>
          <t>ULRICEHAMN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63265-2023</t>
        </is>
      </c>
      <c r="B387" s="1" t="n">
        <v>45273.73775462963</v>
      </c>
      <c r="C387" s="1" t="n">
        <v>46135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18742-2026</t>
        </is>
      </c>
      <c r="B388" s="1" t="n">
        <v>46128.5199074074</v>
      </c>
      <c r="C388" s="1" t="n">
        <v>46135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25073-2023</t>
        </is>
      </c>
      <c r="B389" s="1" t="n">
        <v>45086</v>
      </c>
      <c r="C389" s="1" t="n">
        <v>46135</v>
      </c>
      <c r="D389" t="inlineStr">
        <is>
          <t>VÄSTRA GÖTALANDS LÄN</t>
        </is>
      </c>
      <c r="E389" t="inlineStr">
        <is>
          <t>ULRICEHAMN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20891-2023</t>
        </is>
      </c>
      <c r="B390" s="1" t="n">
        <v>45059</v>
      </c>
      <c r="C390" s="1" t="n">
        <v>46135</v>
      </c>
      <c r="D390" t="inlineStr">
        <is>
          <t>VÄSTRA GÖTALANDS LÄN</t>
        </is>
      </c>
      <c r="E390" t="inlineStr">
        <is>
          <t>ULRICEHAMN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20891-2023</t>
        </is>
      </c>
      <c r="B391" s="1" t="n">
        <v>45059</v>
      </c>
      <c r="C391" s="1" t="n">
        <v>46135</v>
      </c>
      <c r="D391" t="inlineStr">
        <is>
          <t>VÄSTRA GÖTALANDS LÄN</t>
        </is>
      </c>
      <c r="E391" t="inlineStr">
        <is>
          <t>ULRICEHAMN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18743-2026</t>
        </is>
      </c>
      <c r="B392" s="1" t="n">
        <v>46128.52258101852</v>
      </c>
      <c r="C392" s="1" t="n">
        <v>46135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Kyrkan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19006-2026</t>
        </is>
      </c>
      <c r="B393" s="1" t="n">
        <v>46129.88538194444</v>
      </c>
      <c r="C393" s="1" t="n">
        <v>46135</v>
      </c>
      <c r="D393" t="inlineStr">
        <is>
          <t>VÄSTRA GÖTALANDS LÄN</t>
        </is>
      </c>
      <c r="E393" t="inlineStr">
        <is>
          <t>ULRICEHAMN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40031-2023</t>
        </is>
      </c>
      <c r="B394" s="1" t="n">
        <v>45168</v>
      </c>
      <c r="C394" s="1" t="n">
        <v>46135</v>
      </c>
      <c r="D394" t="inlineStr">
        <is>
          <t>VÄSTRA GÖTALANDS LÄN</t>
        </is>
      </c>
      <c r="E394" t="inlineStr">
        <is>
          <t>ULRICEHAMN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40035-2023</t>
        </is>
      </c>
      <c r="B395" s="1" t="n">
        <v>45168</v>
      </c>
      <c r="C395" s="1" t="n">
        <v>46135</v>
      </c>
      <c r="D395" t="inlineStr">
        <is>
          <t>VÄSTRA GÖTALANDS LÄN</t>
        </is>
      </c>
      <c r="E395" t="inlineStr">
        <is>
          <t>ULRICEHAMN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61622-2022</t>
        </is>
      </c>
      <c r="B396" s="1" t="n">
        <v>44916</v>
      </c>
      <c r="C396" s="1" t="n">
        <v>46135</v>
      </c>
      <c r="D396" t="inlineStr">
        <is>
          <t>VÄSTRA GÖTALANDS LÄN</t>
        </is>
      </c>
      <c r="E396" t="inlineStr">
        <is>
          <t>ULRICEHAMN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61623-2022</t>
        </is>
      </c>
      <c r="B397" s="1" t="n">
        <v>44916</v>
      </c>
      <c r="C397" s="1" t="n">
        <v>46135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17870-2023</t>
        </is>
      </c>
      <c r="B398" s="1" t="n">
        <v>45038.59851851852</v>
      </c>
      <c r="C398" s="1" t="n">
        <v>46135</v>
      </c>
      <c r="D398" t="inlineStr">
        <is>
          <t>VÄSTRA GÖTALANDS LÄN</t>
        </is>
      </c>
      <c r="E398" t="inlineStr">
        <is>
          <t>ULRICEHAMN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53097-2023</t>
        </is>
      </c>
      <c r="B399" s="1" t="n">
        <v>45227.77196759259</v>
      </c>
      <c r="C399" s="1" t="n">
        <v>46135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59985-2022</t>
        </is>
      </c>
      <c r="B400" s="1" t="n">
        <v>44909.4491087963</v>
      </c>
      <c r="C400" s="1" t="n">
        <v>46135</v>
      </c>
      <c r="D400" t="inlineStr">
        <is>
          <t>VÄSTRA GÖTALANDS LÄN</t>
        </is>
      </c>
      <c r="E400" t="inlineStr">
        <is>
          <t>ULRICEHAMN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38563-2023</t>
        </is>
      </c>
      <c r="B401" s="1" t="n">
        <v>45162.60915509259</v>
      </c>
      <c r="C401" s="1" t="n">
        <v>46135</v>
      </c>
      <c r="D401" t="inlineStr">
        <is>
          <t>VÄSTRA GÖTALANDS LÄN</t>
        </is>
      </c>
      <c r="E401" t="inlineStr">
        <is>
          <t>ULRICEHAMN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38587-2023</t>
        </is>
      </c>
      <c r="B402" s="1" t="n">
        <v>45162.63479166666</v>
      </c>
      <c r="C402" s="1" t="n">
        <v>46135</v>
      </c>
      <c r="D402" t="inlineStr">
        <is>
          <t>VÄSTRA GÖTALANDS LÄN</t>
        </is>
      </c>
      <c r="E402" t="inlineStr">
        <is>
          <t>ULRICEHAMN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16275-2025</t>
        </is>
      </c>
      <c r="B403" s="1" t="n">
        <v>45750.98498842592</v>
      </c>
      <c r="C403" s="1" t="n">
        <v>46135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51084-2025</t>
        </is>
      </c>
      <c r="B404" s="1" t="n">
        <v>45947</v>
      </c>
      <c r="C404" s="1" t="n">
        <v>46135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55765-2023</t>
        </is>
      </c>
      <c r="B405" s="1" t="n">
        <v>45239.47715277778</v>
      </c>
      <c r="C405" s="1" t="n">
        <v>46135</v>
      </c>
      <c r="D405" t="inlineStr">
        <is>
          <t>VÄSTRA GÖTALANDS LÄN</t>
        </is>
      </c>
      <c r="E405" t="inlineStr">
        <is>
          <t>ULRICEHAMN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22609-2023</t>
        </is>
      </c>
      <c r="B406" s="1" t="n">
        <v>45071</v>
      </c>
      <c r="C406" s="1" t="n">
        <v>46135</v>
      </c>
      <c r="D406" t="inlineStr">
        <is>
          <t>VÄSTRA GÖTALANDS LÄN</t>
        </is>
      </c>
      <c r="E406" t="inlineStr">
        <is>
          <t>ULRICEHAMN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9754-2024</t>
        </is>
      </c>
      <c r="B407" s="1" t="n">
        <v>45362.61717592592</v>
      </c>
      <c r="C407" s="1" t="n">
        <v>46135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51046-2025</t>
        </is>
      </c>
      <c r="B408" s="1" t="n">
        <v>45947.42858796296</v>
      </c>
      <c r="C408" s="1" t="n">
        <v>46135</v>
      </c>
      <c r="D408" t="inlineStr">
        <is>
          <t>VÄSTRA GÖTALANDS LÄN</t>
        </is>
      </c>
      <c r="E408" t="inlineStr">
        <is>
          <t>ULRICEHAMN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19005-2026</t>
        </is>
      </c>
      <c r="B409" s="1" t="n">
        <v>46129.87918981481</v>
      </c>
      <c r="C409" s="1" t="n">
        <v>46135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15289-2025</t>
        </is>
      </c>
      <c r="B410" s="1" t="n">
        <v>45745.37030092593</v>
      </c>
      <c r="C410" s="1" t="n">
        <v>46135</v>
      </c>
      <c r="D410" t="inlineStr">
        <is>
          <t>VÄSTRA GÖTALANDS LÄN</t>
        </is>
      </c>
      <c r="E410" t="inlineStr">
        <is>
          <t>ULRICEHAMN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51095-2025</t>
        </is>
      </c>
      <c r="B411" s="1" t="n">
        <v>45947</v>
      </c>
      <c r="C411" s="1" t="n">
        <v>46135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19007-2026</t>
        </is>
      </c>
      <c r="B412" s="1" t="n">
        <v>46129.89118055555</v>
      </c>
      <c r="C412" s="1" t="n">
        <v>46135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38640-2023</t>
        </is>
      </c>
      <c r="B413" s="1" t="n">
        <v>45162</v>
      </c>
      <c r="C413" s="1" t="n">
        <v>46135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51683-2025</t>
        </is>
      </c>
      <c r="B414" s="1" t="n">
        <v>45951.52045138889</v>
      </c>
      <c r="C414" s="1" t="n">
        <v>46135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60154-2025</t>
        </is>
      </c>
      <c r="B415" s="1" t="n">
        <v>45994</v>
      </c>
      <c r="C415" s="1" t="n">
        <v>46135</v>
      </c>
      <c r="D415" t="inlineStr">
        <is>
          <t>VÄSTRA GÖTALANDS LÄN</t>
        </is>
      </c>
      <c r="E415" t="inlineStr">
        <is>
          <t>ULRICEHAMN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12205-2026</t>
        </is>
      </c>
      <c r="B416" s="1" t="n">
        <v>46087.33383101852</v>
      </c>
      <c r="C416" s="1" t="n">
        <v>46135</v>
      </c>
      <c r="D416" t="inlineStr">
        <is>
          <t>VÄSTRA GÖTALANDS LÄN</t>
        </is>
      </c>
      <c r="E416" t="inlineStr">
        <is>
          <t>ULRICEHAMN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16949-2024</t>
        </is>
      </c>
      <c r="B417" s="1" t="n">
        <v>45411.86090277778</v>
      </c>
      <c r="C417" s="1" t="n">
        <v>46135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51386-2025</t>
        </is>
      </c>
      <c r="B418" s="1" t="n">
        <v>45950.4659837963</v>
      </c>
      <c r="C418" s="1" t="n">
        <v>46135</v>
      </c>
      <c r="D418" t="inlineStr">
        <is>
          <t>VÄSTRA GÖTALANDS LÄN</t>
        </is>
      </c>
      <c r="E418" t="inlineStr">
        <is>
          <t>ULRICEHAMN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12692-2026</t>
        </is>
      </c>
      <c r="B419" s="1" t="n">
        <v>46091.57222222222</v>
      </c>
      <c r="C419" s="1" t="n">
        <v>46135</v>
      </c>
      <c r="D419" t="inlineStr">
        <is>
          <t>VÄSTRA GÖTALANDS LÄN</t>
        </is>
      </c>
      <c r="E419" t="inlineStr">
        <is>
          <t>ULRICEHAMN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52713-2023</t>
        </is>
      </c>
      <c r="B420" s="1" t="n">
        <v>45225.85532407407</v>
      </c>
      <c r="C420" s="1" t="n">
        <v>46135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6853-2023</t>
        </is>
      </c>
      <c r="B421" s="1" t="n">
        <v>44967</v>
      </c>
      <c r="C421" s="1" t="n">
        <v>46135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6856-2023</t>
        </is>
      </c>
      <c r="B422" s="1" t="n">
        <v>44967</v>
      </c>
      <c r="C422" s="1" t="n">
        <v>46135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51682-2025</t>
        </is>
      </c>
      <c r="B423" s="1" t="n">
        <v>45951.51880787037</v>
      </c>
      <c r="C423" s="1" t="n">
        <v>46135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50002-2024</t>
        </is>
      </c>
      <c r="B424" s="1" t="n">
        <v>45598.42902777778</v>
      </c>
      <c r="C424" s="1" t="n">
        <v>46135</v>
      </c>
      <c r="D424" t="inlineStr">
        <is>
          <t>VÄSTRA GÖTALANDS LÄN</t>
        </is>
      </c>
      <c r="E424" t="inlineStr">
        <is>
          <t>ULRICEHAMN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60409-2024</t>
        </is>
      </c>
      <c r="B425" s="1" t="n">
        <v>45643.51184027778</v>
      </c>
      <c r="C425" s="1" t="n">
        <v>46135</v>
      </c>
      <c r="D425" t="inlineStr">
        <is>
          <t>VÄSTRA GÖTALANDS LÄN</t>
        </is>
      </c>
      <c r="E425" t="inlineStr">
        <is>
          <t>ULRICEHAMN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34774-2023</t>
        </is>
      </c>
      <c r="B426" s="1" t="n">
        <v>45140</v>
      </c>
      <c r="C426" s="1" t="n">
        <v>46135</v>
      </c>
      <c r="D426" t="inlineStr">
        <is>
          <t>VÄSTRA GÖTALANDS LÄN</t>
        </is>
      </c>
      <c r="E426" t="inlineStr">
        <is>
          <t>ULRICEHAMN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29207-2024</t>
        </is>
      </c>
      <c r="B427" s="1" t="n">
        <v>45482.61148148148</v>
      </c>
      <c r="C427" s="1" t="n">
        <v>46135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51895-2025</t>
        </is>
      </c>
      <c r="B428" s="1" t="n">
        <v>45952.4318287037</v>
      </c>
      <c r="C428" s="1" t="n">
        <v>46135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52304-2023</t>
        </is>
      </c>
      <c r="B429" s="1" t="n">
        <v>45224</v>
      </c>
      <c r="C429" s="1" t="n">
        <v>46135</v>
      </c>
      <c r="D429" t="inlineStr">
        <is>
          <t>VÄSTRA GÖTALANDS LÄN</t>
        </is>
      </c>
      <c r="E429" t="inlineStr">
        <is>
          <t>ULRICEHAMN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18201-2023</t>
        </is>
      </c>
      <c r="B430" s="1" t="n">
        <v>45041</v>
      </c>
      <c r="C430" s="1" t="n">
        <v>46135</v>
      </c>
      <c r="D430" t="inlineStr">
        <is>
          <t>VÄSTRA GÖTALANDS LÄN</t>
        </is>
      </c>
      <c r="E430" t="inlineStr">
        <is>
          <t>ULRICEHAMN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5485-2024</t>
        </is>
      </c>
      <c r="B431" s="1" t="n">
        <v>45334</v>
      </c>
      <c r="C431" s="1" t="n">
        <v>46135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17999-2026</t>
        </is>
      </c>
      <c r="B432" s="1" t="n">
        <v>46125</v>
      </c>
      <c r="C432" s="1" t="n">
        <v>46135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60992-2021</t>
        </is>
      </c>
      <c r="B433" s="1" t="n">
        <v>44497.61384259259</v>
      </c>
      <c r="C433" s="1" t="n">
        <v>46135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52536-2025</t>
        </is>
      </c>
      <c r="B434" s="1" t="n">
        <v>45954.54416666667</v>
      </c>
      <c r="C434" s="1" t="n">
        <v>46135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52957-2025</t>
        </is>
      </c>
      <c r="B435" s="1" t="n">
        <v>45957.65851851852</v>
      </c>
      <c r="C435" s="1" t="n">
        <v>46135</v>
      </c>
      <c r="D435" t="inlineStr">
        <is>
          <t>VÄSTRA GÖTALANDS LÄN</t>
        </is>
      </c>
      <c r="E435" t="inlineStr">
        <is>
          <t>ULRICEHAMN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25769-2023</t>
        </is>
      </c>
      <c r="B436" s="1" t="n">
        <v>45090.46358796296</v>
      </c>
      <c r="C436" s="1" t="n">
        <v>46135</v>
      </c>
      <c r="D436" t="inlineStr">
        <is>
          <t>VÄSTRA GÖTALANDS LÄN</t>
        </is>
      </c>
      <c r="E436" t="inlineStr">
        <is>
          <t>ULRICEHAMN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49912-2021</t>
        </is>
      </c>
      <c r="B437" s="1" t="n">
        <v>44455.8500462963</v>
      </c>
      <c r="C437" s="1" t="n">
        <v>46135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52554-2025</t>
        </is>
      </c>
      <c r="B438" s="1" t="n">
        <v>45954.56371527778</v>
      </c>
      <c r="C438" s="1" t="n">
        <v>46135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16577-2022</t>
        </is>
      </c>
      <c r="B439" s="1" t="n">
        <v>44672.46112268518</v>
      </c>
      <c r="C439" s="1" t="n">
        <v>46135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48986-2023</t>
        </is>
      </c>
      <c r="B440" s="1" t="n">
        <v>45209.64098379629</v>
      </c>
      <c r="C440" s="1" t="n">
        <v>46135</v>
      </c>
      <c r="D440" t="inlineStr">
        <is>
          <t>VÄSTRA GÖTALANDS LÄN</t>
        </is>
      </c>
      <c r="E440" t="inlineStr">
        <is>
          <t>ULRICEHAMN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52628-2025</t>
        </is>
      </c>
      <c r="B441" s="1" t="n">
        <v>45954.71049768518</v>
      </c>
      <c r="C441" s="1" t="n">
        <v>46135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52626-2025</t>
        </is>
      </c>
      <c r="B442" s="1" t="n">
        <v>45954.70637731482</v>
      </c>
      <c r="C442" s="1" t="n">
        <v>46135</v>
      </c>
      <c r="D442" t="inlineStr">
        <is>
          <t>VÄSTRA GÖTALANDS LÄN</t>
        </is>
      </c>
      <c r="E442" t="inlineStr">
        <is>
          <t>ULRICEHAMN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52629-2025</t>
        </is>
      </c>
      <c r="B443" s="1" t="n">
        <v>45954.71233796296</v>
      </c>
      <c r="C443" s="1" t="n">
        <v>46135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8670-2022</t>
        </is>
      </c>
      <c r="B444" s="1" t="n">
        <v>44613.67236111111</v>
      </c>
      <c r="C444" s="1" t="n">
        <v>46135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33129-2024</t>
        </is>
      </c>
      <c r="B445" s="1" t="n">
        <v>45518.02157407408</v>
      </c>
      <c r="C445" s="1" t="n">
        <v>46135</v>
      </c>
      <c r="D445" t="inlineStr">
        <is>
          <t>VÄSTRA GÖTALANDS LÄN</t>
        </is>
      </c>
      <c r="E445" t="inlineStr">
        <is>
          <t>ULRICEHAMN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38056-2024</t>
        </is>
      </c>
      <c r="B446" s="1" t="n">
        <v>45544.72979166666</v>
      </c>
      <c r="C446" s="1" t="n">
        <v>46135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37515-2023</t>
        </is>
      </c>
      <c r="B447" s="1" t="n">
        <v>45158.5971412037</v>
      </c>
      <c r="C447" s="1" t="n">
        <v>46135</v>
      </c>
      <c r="D447" t="inlineStr">
        <is>
          <t>VÄSTRA GÖTALANDS LÄN</t>
        </is>
      </c>
      <c r="E447" t="inlineStr">
        <is>
          <t>ULRICEHAMN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548-2022</t>
        </is>
      </c>
      <c r="B448" s="1" t="n">
        <v>44566.64864583333</v>
      </c>
      <c r="C448" s="1" t="n">
        <v>46135</v>
      </c>
      <c r="D448" t="inlineStr">
        <is>
          <t>VÄSTRA GÖTALANDS LÄN</t>
        </is>
      </c>
      <c r="E448" t="inlineStr">
        <is>
          <t>ULRICEHAMN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20465-2025</t>
        </is>
      </c>
      <c r="B449" s="1" t="n">
        <v>45775.53862268518</v>
      </c>
      <c r="C449" s="1" t="n">
        <v>46135</v>
      </c>
      <c r="D449" t="inlineStr">
        <is>
          <t>VÄSTRA GÖTALANDS LÄN</t>
        </is>
      </c>
      <c r="E449" t="inlineStr">
        <is>
          <t>ULRICEHAMN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823-2023</t>
        </is>
      </c>
      <c r="B450" s="1" t="n">
        <v>44929</v>
      </c>
      <c r="C450" s="1" t="n">
        <v>46135</v>
      </c>
      <c r="D450" t="inlineStr">
        <is>
          <t>VÄSTRA GÖTALANDS LÄN</t>
        </is>
      </c>
      <c r="E450" t="inlineStr">
        <is>
          <t>ULRICEHAMN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40650-2022</t>
        </is>
      </c>
      <c r="B451" s="1" t="n">
        <v>44824.34364583333</v>
      </c>
      <c r="C451" s="1" t="n">
        <v>46135</v>
      </c>
      <c r="D451" t="inlineStr">
        <is>
          <t>VÄSTRA GÖTALANDS LÄN</t>
        </is>
      </c>
      <c r="E451" t="inlineStr">
        <is>
          <t>ULRICEHAMN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15120-2024</t>
        </is>
      </c>
      <c r="B452" s="1" t="n">
        <v>45399.69380787037</v>
      </c>
      <c r="C452" s="1" t="n">
        <v>46135</v>
      </c>
      <c r="D452" t="inlineStr">
        <is>
          <t>VÄSTRA GÖTALANDS LÄN</t>
        </is>
      </c>
      <c r="E452" t="inlineStr">
        <is>
          <t>ULRICEHAMN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51161-2024</t>
        </is>
      </c>
      <c r="B453" s="1" t="n">
        <v>45603.57903935185</v>
      </c>
      <c r="C453" s="1" t="n">
        <v>46135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943-2025</t>
        </is>
      </c>
      <c r="B454" s="1" t="n">
        <v>45666.33940972222</v>
      </c>
      <c r="C454" s="1" t="n">
        <v>46135</v>
      </c>
      <c r="D454" t="inlineStr">
        <is>
          <t>VÄSTRA GÖTALANDS LÄN</t>
        </is>
      </c>
      <c r="E454" t="inlineStr">
        <is>
          <t>ULRICEHAMN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19093-2024</t>
        </is>
      </c>
      <c r="B455" s="1" t="n">
        <v>45428.28443287037</v>
      </c>
      <c r="C455" s="1" t="n">
        <v>46135</v>
      </c>
      <c r="D455" t="inlineStr">
        <is>
          <t>VÄSTRA GÖTALANDS LÄN</t>
        </is>
      </c>
      <c r="E455" t="inlineStr">
        <is>
          <t>ULRICEHAMN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22304-2023</t>
        </is>
      </c>
      <c r="B456" s="1" t="n">
        <v>45070.46034722222</v>
      </c>
      <c r="C456" s="1" t="n">
        <v>46135</v>
      </c>
      <c r="D456" t="inlineStr">
        <is>
          <t>VÄSTRA GÖTALANDS LÄN</t>
        </is>
      </c>
      <c r="E456" t="inlineStr">
        <is>
          <t>ULRICEHAMN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27255-2024</t>
        </is>
      </c>
      <c r="B457" s="1" t="n">
        <v>45471.74104166667</v>
      </c>
      <c r="C457" s="1" t="n">
        <v>46135</v>
      </c>
      <c r="D457" t="inlineStr">
        <is>
          <t>VÄSTRA GÖTALANDS LÄN</t>
        </is>
      </c>
      <c r="E457" t="inlineStr">
        <is>
          <t>ULRICEHAMN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53386-2025</t>
        </is>
      </c>
      <c r="B458" s="1" t="n">
        <v>45959.54478009259</v>
      </c>
      <c r="C458" s="1" t="n">
        <v>46135</v>
      </c>
      <c r="D458" t="inlineStr">
        <is>
          <t>VÄSTRA GÖTALANDS LÄN</t>
        </is>
      </c>
      <c r="E458" t="inlineStr">
        <is>
          <t>ULRICEHAMN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25078-2023</t>
        </is>
      </c>
      <c r="B459" s="1" t="n">
        <v>45086</v>
      </c>
      <c r="C459" s="1" t="n">
        <v>46135</v>
      </c>
      <c r="D459" t="inlineStr">
        <is>
          <t>VÄSTRA GÖTALANDS LÄN</t>
        </is>
      </c>
      <c r="E459" t="inlineStr">
        <is>
          <t>ULRICEHAMN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55364-2024</t>
        </is>
      </c>
      <c r="B460" s="1" t="n">
        <v>45621.85106481481</v>
      </c>
      <c r="C460" s="1" t="n">
        <v>46135</v>
      </c>
      <c r="D460" t="inlineStr">
        <is>
          <t>VÄSTRA GÖTALANDS LÄN</t>
        </is>
      </c>
      <c r="E460" t="inlineStr">
        <is>
          <t>ULRICEHAMN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42400-2023</t>
        </is>
      </c>
      <c r="B461" s="1" t="n">
        <v>45180.59076388889</v>
      </c>
      <c r="C461" s="1" t="n">
        <v>46135</v>
      </c>
      <c r="D461" t="inlineStr">
        <is>
          <t>VÄSTRA GÖTALANDS LÄN</t>
        </is>
      </c>
      <c r="E461" t="inlineStr">
        <is>
          <t>ULRICEHAMN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53518-2025</t>
        </is>
      </c>
      <c r="B462" s="1" t="n">
        <v>45960.35179398148</v>
      </c>
      <c r="C462" s="1" t="n">
        <v>46135</v>
      </c>
      <c r="D462" t="inlineStr">
        <is>
          <t>VÄSTRA GÖTALANDS LÄN</t>
        </is>
      </c>
      <c r="E462" t="inlineStr">
        <is>
          <t>ULRICEHAMN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53666-2025</t>
        </is>
      </c>
      <c r="B463" s="1" t="n">
        <v>45960.54706018518</v>
      </c>
      <c r="C463" s="1" t="n">
        <v>46135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15180-2022</t>
        </is>
      </c>
      <c r="B464" s="1" t="n">
        <v>44658</v>
      </c>
      <c r="C464" s="1" t="n">
        <v>46135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53504-2025</t>
        </is>
      </c>
      <c r="B465" s="1" t="n">
        <v>45960.34425925926</v>
      </c>
      <c r="C465" s="1" t="n">
        <v>46135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58560-2021</t>
        </is>
      </c>
      <c r="B466" s="1" t="n">
        <v>44488.83150462963</v>
      </c>
      <c r="C466" s="1" t="n">
        <v>46135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53432-2025</t>
        </is>
      </c>
      <c r="B467" s="1" t="n">
        <v>45959.62899305556</v>
      </c>
      <c r="C467" s="1" t="n">
        <v>46135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53433-2025</t>
        </is>
      </c>
      <c r="B468" s="1" t="n">
        <v>45959.63047453704</v>
      </c>
      <c r="C468" s="1" t="n">
        <v>46135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53497-2025</t>
        </is>
      </c>
      <c r="B469" s="1" t="n">
        <v>45960.33063657407</v>
      </c>
      <c r="C469" s="1" t="n">
        <v>46135</v>
      </c>
      <c r="D469" t="inlineStr">
        <is>
          <t>VÄSTRA GÖTALANDS LÄN</t>
        </is>
      </c>
      <c r="E469" t="inlineStr">
        <is>
          <t>ULRICEHAMN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65872-2021</t>
        </is>
      </c>
      <c r="B470" s="1" t="n">
        <v>44517.39930555555</v>
      </c>
      <c r="C470" s="1" t="n">
        <v>46135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53825-2025</t>
        </is>
      </c>
      <c r="B471" s="1" t="n">
        <v>45961.34212962963</v>
      </c>
      <c r="C471" s="1" t="n">
        <v>46135</v>
      </c>
      <c r="D471" t="inlineStr">
        <is>
          <t>VÄSTRA GÖTALANDS LÄN</t>
        </is>
      </c>
      <c r="E471" t="inlineStr">
        <is>
          <t>ULRICEHAMN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53489-2025</t>
        </is>
      </c>
      <c r="B472" s="1" t="n">
        <v>45960.30618055556</v>
      </c>
      <c r="C472" s="1" t="n">
        <v>46135</v>
      </c>
      <c r="D472" t="inlineStr">
        <is>
          <t>VÄSTRA GÖTALANDS LÄN</t>
        </is>
      </c>
      <c r="E472" t="inlineStr">
        <is>
          <t>ULRICEHAMN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14911-2023</t>
        </is>
      </c>
      <c r="B473" s="1" t="n">
        <v>45015.38202546296</v>
      </c>
      <c r="C473" s="1" t="n">
        <v>46135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54728-2025</t>
        </is>
      </c>
      <c r="B474" s="1" t="n">
        <v>45966.55646990741</v>
      </c>
      <c r="C474" s="1" t="n">
        <v>46135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40444-2021</t>
        </is>
      </c>
      <c r="B475" s="1" t="n">
        <v>44419</v>
      </c>
      <c r="C475" s="1" t="n">
        <v>46135</v>
      </c>
      <c r="D475" t="inlineStr">
        <is>
          <t>VÄSTRA GÖTALANDS LÄN</t>
        </is>
      </c>
      <c r="E475" t="inlineStr">
        <is>
          <t>ULRICEHAMN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22715-2023</t>
        </is>
      </c>
      <c r="B476" s="1" t="n">
        <v>45071</v>
      </c>
      <c r="C476" s="1" t="n">
        <v>46135</v>
      </c>
      <c r="D476" t="inlineStr">
        <is>
          <t>VÄSTRA GÖTALANDS LÄN</t>
        </is>
      </c>
      <c r="E476" t="inlineStr">
        <is>
          <t>ULRICEHAMN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54837-2025</t>
        </is>
      </c>
      <c r="B477" s="1" t="n">
        <v>45966.68065972222</v>
      </c>
      <c r="C477" s="1" t="n">
        <v>46135</v>
      </c>
      <c r="D477" t="inlineStr">
        <is>
          <t>VÄSTRA GÖTALANDS LÄN</t>
        </is>
      </c>
      <c r="E477" t="inlineStr">
        <is>
          <t>ULRICEHAMN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54814-2025</t>
        </is>
      </c>
      <c r="B478" s="1" t="n">
        <v>45966.65212962963</v>
      </c>
      <c r="C478" s="1" t="n">
        <v>46135</v>
      </c>
      <c r="D478" t="inlineStr">
        <is>
          <t>VÄSTRA GÖTALANDS LÄN</t>
        </is>
      </c>
      <c r="E478" t="inlineStr">
        <is>
          <t>ULRICEHAMN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7346-2023</t>
        </is>
      </c>
      <c r="B479" s="1" t="n">
        <v>44971</v>
      </c>
      <c r="C479" s="1" t="n">
        <v>46135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46209-2023</t>
        </is>
      </c>
      <c r="B480" s="1" t="n">
        <v>45196.6505787037</v>
      </c>
      <c r="C480" s="1" t="n">
        <v>46135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25901-2024</t>
        </is>
      </c>
      <c r="B481" s="1" t="n">
        <v>45467.56039351852</v>
      </c>
      <c r="C481" s="1" t="n">
        <v>46135</v>
      </c>
      <c r="D481" t="inlineStr">
        <is>
          <t>VÄSTRA GÖTALANDS LÄN</t>
        </is>
      </c>
      <c r="E481" t="inlineStr">
        <is>
          <t>ULRICEHAMN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55270-2025</t>
        </is>
      </c>
      <c r="B482" s="1" t="n">
        <v>45968.67233796296</v>
      </c>
      <c r="C482" s="1" t="n">
        <v>46135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3849-2025</t>
        </is>
      </c>
      <c r="B483" s="1" t="n">
        <v>45683.84034722222</v>
      </c>
      <c r="C483" s="1" t="n">
        <v>46135</v>
      </c>
      <c r="D483" t="inlineStr">
        <is>
          <t>VÄSTRA GÖTALANDS LÄN</t>
        </is>
      </c>
      <c r="E483" t="inlineStr">
        <is>
          <t>ULRICEHAMN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3850-2025</t>
        </is>
      </c>
      <c r="B484" s="1" t="n">
        <v>45683.84642361111</v>
      </c>
      <c r="C484" s="1" t="n">
        <v>46135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50521-2021</t>
        </is>
      </c>
      <c r="B485" s="1" t="n">
        <v>44455</v>
      </c>
      <c r="C485" s="1" t="n">
        <v>46135</v>
      </c>
      <c r="D485" t="inlineStr">
        <is>
          <t>VÄSTRA GÖTALANDS LÄN</t>
        </is>
      </c>
      <c r="E485" t="inlineStr">
        <is>
          <t>ULRICEHAMN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21972-2024</t>
        </is>
      </c>
      <c r="B486" s="1" t="n">
        <v>45443.52001157407</v>
      </c>
      <c r="C486" s="1" t="n">
        <v>46135</v>
      </c>
      <c r="D486" t="inlineStr">
        <is>
          <t>VÄSTRA GÖTALANDS LÄN</t>
        </is>
      </c>
      <c r="E486" t="inlineStr">
        <is>
          <t>ULRICEHAMN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13854-2022</t>
        </is>
      </c>
      <c r="B487" s="1" t="n">
        <v>44649.68643518518</v>
      </c>
      <c r="C487" s="1" t="n">
        <v>46135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7111-2023</t>
        </is>
      </c>
      <c r="B488" s="1" t="n">
        <v>44970</v>
      </c>
      <c r="C488" s="1" t="n">
        <v>46135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64739-2023</t>
        </is>
      </c>
      <c r="B489" s="1" t="n">
        <v>45281.87136574074</v>
      </c>
      <c r="C489" s="1" t="n">
        <v>46135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16744-2024</t>
        </is>
      </c>
      <c r="B490" s="1" t="n">
        <v>45411.21011574074</v>
      </c>
      <c r="C490" s="1" t="n">
        <v>46135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57561-2022</t>
        </is>
      </c>
      <c r="B491" s="1" t="n">
        <v>44896</v>
      </c>
      <c r="C491" s="1" t="n">
        <v>46135</v>
      </c>
      <c r="D491" t="inlineStr">
        <is>
          <t>VÄSTRA GÖTALANDS LÄN</t>
        </is>
      </c>
      <c r="E491" t="inlineStr">
        <is>
          <t>ULRICEHAMN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12565-2025</t>
        </is>
      </c>
      <c r="B492" s="1" t="n">
        <v>45731.60994212963</v>
      </c>
      <c r="C492" s="1" t="n">
        <v>46135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19691-2025</t>
        </is>
      </c>
      <c r="B493" s="1" t="n">
        <v>45770.88768518518</v>
      </c>
      <c r="C493" s="1" t="n">
        <v>46135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55581-2025</t>
        </is>
      </c>
      <c r="B494" s="1" t="n">
        <v>45971.67520833333</v>
      </c>
      <c r="C494" s="1" t="n">
        <v>46135</v>
      </c>
      <c r="D494" t="inlineStr">
        <is>
          <t>VÄSTRA GÖTALANDS LÄN</t>
        </is>
      </c>
      <c r="E494" t="inlineStr">
        <is>
          <t>ULRICEHAMN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55419-2023</t>
        </is>
      </c>
      <c r="B495" s="1" t="n">
        <v>45231</v>
      </c>
      <c r="C495" s="1" t="n">
        <v>46135</v>
      </c>
      <c r="D495" t="inlineStr">
        <is>
          <t>VÄSTRA GÖTALANDS LÄN</t>
        </is>
      </c>
      <c r="E495" t="inlineStr">
        <is>
          <t>ULRICEHAMN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55455-2023</t>
        </is>
      </c>
      <c r="B496" s="1" t="n">
        <v>45231</v>
      </c>
      <c r="C496" s="1" t="n">
        <v>46135</v>
      </c>
      <c r="D496" t="inlineStr">
        <is>
          <t>VÄSTRA GÖTALANDS LÄN</t>
        </is>
      </c>
      <c r="E496" t="inlineStr">
        <is>
          <t>ULRICEHAMN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646-2025</t>
        </is>
      </c>
      <c r="B497" s="1" t="n">
        <v>45664.65659722222</v>
      </c>
      <c r="C497" s="1" t="n">
        <v>46135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57562-2023</t>
        </is>
      </c>
      <c r="B498" s="1" t="n">
        <v>45246.49246527778</v>
      </c>
      <c r="C498" s="1" t="n">
        <v>46135</v>
      </c>
      <c r="D498" t="inlineStr">
        <is>
          <t>VÄSTRA GÖTALANDS LÄN</t>
        </is>
      </c>
      <c r="E498" t="inlineStr">
        <is>
          <t>ULRICEHAMN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21419-2025</t>
        </is>
      </c>
      <c r="B499" s="1" t="n">
        <v>45782.50159722222</v>
      </c>
      <c r="C499" s="1" t="n">
        <v>46135</v>
      </c>
      <c r="D499" t="inlineStr">
        <is>
          <t>VÄSTRA GÖTALANDS LÄN</t>
        </is>
      </c>
      <c r="E499" t="inlineStr">
        <is>
          <t>ULRICEHAMN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55993-2025</t>
        </is>
      </c>
      <c r="B500" s="1" t="n">
        <v>45973.55982638889</v>
      </c>
      <c r="C500" s="1" t="n">
        <v>46135</v>
      </c>
      <c r="D500" t="inlineStr">
        <is>
          <t>VÄSTRA GÖTALANDS LÄN</t>
        </is>
      </c>
      <c r="E500" t="inlineStr">
        <is>
          <t>ULRICEHAMN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21342-2025</t>
        </is>
      </c>
      <c r="B501" s="1" t="n">
        <v>45782.39655092593</v>
      </c>
      <c r="C501" s="1" t="n">
        <v>46135</v>
      </c>
      <c r="D501" t="inlineStr">
        <is>
          <t>VÄSTRA GÖTALANDS LÄN</t>
        </is>
      </c>
      <c r="E501" t="inlineStr">
        <is>
          <t>ULRICEHAMN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21314-2025</t>
        </is>
      </c>
      <c r="B502" s="1" t="n">
        <v>45782.31944444445</v>
      </c>
      <c r="C502" s="1" t="n">
        <v>46135</v>
      </c>
      <c r="D502" t="inlineStr">
        <is>
          <t>VÄSTRA GÖTALANDS LÄN</t>
        </is>
      </c>
      <c r="E502" t="inlineStr">
        <is>
          <t>ULRICEHAMN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56082-2025</t>
        </is>
      </c>
      <c r="B503" s="1" t="n">
        <v>45973.66148148148</v>
      </c>
      <c r="C503" s="1" t="n">
        <v>46135</v>
      </c>
      <c r="D503" t="inlineStr">
        <is>
          <t>VÄSTRA GÖTALANDS LÄN</t>
        </is>
      </c>
      <c r="E503" t="inlineStr">
        <is>
          <t>ULRICEHAMN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45529-2024</t>
        </is>
      </c>
      <c r="B504" s="1" t="n">
        <v>45579.28255787037</v>
      </c>
      <c r="C504" s="1" t="n">
        <v>46135</v>
      </c>
      <c r="D504" t="inlineStr">
        <is>
          <t>VÄSTRA GÖTALANDS LÄN</t>
        </is>
      </c>
      <c r="E504" t="inlineStr">
        <is>
          <t>ULRICEHAMN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4203-2025</t>
        </is>
      </c>
      <c r="B505" s="1" t="n">
        <v>45685.46277777778</v>
      </c>
      <c r="C505" s="1" t="n">
        <v>46135</v>
      </c>
      <c r="D505" t="inlineStr">
        <is>
          <t>VÄSTRA GÖTALANDS LÄN</t>
        </is>
      </c>
      <c r="E505" t="inlineStr">
        <is>
          <t>ULRICEHAMN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534-2024</t>
        </is>
      </c>
      <c r="B506" s="1" t="n">
        <v>45299</v>
      </c>
      <c r="C506" s="1" t="n">
        <v>46135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44884-2024</t>
        </is>
      </c>
      <c r="B507" s="1" t="n">
        <v>45575.35196759259</v>
      </c>
      <c r="C507" s="1" t="n">
        <v>46135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56319-2025</t>
        </is>
      </c>
      <c r="B508" s="1" t="n">
        <v>45974.63384259259</v>
      </c>
      <c r="C508" s="1" t="n">
        <v>46135</v>
      </c>
      <c r="D508" t="inlineStr">
        <is>
          <t>VÄSTRA GÖTALANDS LÄN</t>
        </is>
      </c>
      <c r="E508" t="inlineStr">
        <is>
          <t>ULRICEHAMN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37499-2023</t>
        </is>
      </c>
      <c r="B509" s="1" t="n">
        <v>45157</v>
      </c>
      <c r="C509" s="1" t="n">
        <v>46135</v>
      </c>
      <c r="D509" t="inlineStr">
        <is>
          <t>VÄSTRA GÖTALANDS LÄN</t>
        </is>
      </c>
      <c r="E509" t="inlineStr">
        <is>
          <t>ULRICEHAMN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18569-2023</t>
        </is>
      </c>
      <c r="B510" s="1" t="n">
        <v>45043.33277777778</v>
      </c>
      <c r="C510" s="1" t="n">
        <v>46135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56418-2025</t>
        </is>
      </c>
      <c r="B511" s="1" t="n">
        <v>45975.34393518518</v>
      </c>
      <c r="C511" s="1" t="n">
        <v>46135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56335-2025</t>
        </is>
      </c>
      <c r="B512" s="1" t="n">
        <v>45974.64454861111</v>
      </c>
      <c r="C512" s="1" t="n">
        <v>46135</v>
      </c>
      <c r="D512" t="inlineStr">
        <is>
          <t>VÄSTRA GÖTALANDS LÄN</t>
        </is>
      </c>
      <c r="E512" t="inlineStr">
        <is>
          <t>ULRICEHAMN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22152-2025</t>
        </is>
      </c>
      <c r="B513" s="1" t="n">
        <v>45785.56844907408</v>
      </c>
      <c r="C513" s="1" t="n">
        <v>46135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22110-2025</t>
        </is>
      </c>
      <c r="B514" s="1" t="n">
        <v>45785.49209490741</v>
      </c>
      <c r="C514" s="1" t="n">
        <v>46135</v>
      </c>
      <c r="D514" t="inlineStr">
        <is>
          <t>VÄSTRA GÖTALANDS LÄN</t>
        </is>
      </c>
      <c r="E514" t="inlineStr">
        <is>
          <t>ULRICEHAMN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4284-2024</t>
        </is>
      </c>
      <c r="B515" s="1" t="n">
        <v>45324.58987268519</v>
      </c>
      <c r="C515" s="1" t="n">
        <v>46135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3251-2023</t>
        </is>
      </c>
      <c r="B516" s="1" t="n">
        <v>44947.52337962963</v>
      </c>
      <c r="C516" s="1" t="n">
        <v>46135</v>
      </c>
      <c r="D516" t="inlineStr">
        <is>
          <t>VÄSTRA GÖTALANDS LÄN</t>
        </is>
      </c>
      <c r="E516" t="inlineStr">
        <is>
          <t>ULRICEHAMN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12101-2022</t>
        </is>
      </c>
      <c r="B517" s="1" t="n">
        <v>44636</v>
      </c>
      <c r="C517" s="1" t="n">
        <v>46135</v>
      </c>
      <c r="D517" t="inlineStr">
        <is>
          <t>VÄSTRA GÖTALANDS LÄN</t>
        </is>
      </c>
      <c r="E517" t="inlineStr">
        <is>
          <t>ULRICEHAMN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52198-2022</t>
        </is>
      </c>
      <c r="B518" s="1" t="n">
        <v>44873.55699074074</v>
      </c>
      <c r="C518" s="1" t="n">
        <v>46135</v>
      </c>
      <c r="D518" t="inlineStr">
        <is>
          <t>VÄSTRA GÖTALANDS LÄN</t>
        </is>
      </c>
      <c r="E518" t="inlineStr">
        <is>
          <t>ULRICEHAMN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61773-2022</t>
        </is>
      </c>
      <c r="B519" s="1" t="n">
        <v>44917.51491898148</v>
      </c>
      <c r="C519" s="1" t="n">
        <v>46135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51665-2024</t>
        </is>
      </c>
      <c r="B520" s="1" t="n">
        <v>45606.84010416667</v>
      </c>
      <c r="C520" s="1" t="n">
        <v>46135</v>
      </c>
      <c r="D520" t="inlineStr">
        <is>
          <t>VÄSTRA GÖTALANDS LÄN</t>
        </is>
      </c>
      <c r="E520" t="inlineStr">
        <is>
          <t>ULRICEHAMN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56354-2025</t>
        </is>
      </c>
      <c r="B521" s="1" t="n">
        <v>45974.65717592592</v>
      </c>
      <c r="C521" s="1" t="n">
        <v>46135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56360-2025</t>
        </is>
      </c>
      <c r="B522" s="1" t="n">
        <v>45974.66358796296</v>
      </c>
      <c r="C522" s="1" t="n">
        <v>46135</v>
      </c>
      <c r="D522" t="inlineStr">
        <is>
          <t>VÄSTRA GÖTALANDS LÄN</t>
        </is>
      </c>
      <c r="E522" t="inlineStr">
        <is>
          <t>ULRICEHAMN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16993-2024</t>
        </is>
      </c>
      <c r="B523" s="1" t="n">
        <v>45412.33524305555</v>
      </c>
      <c r="C523" s="1" t="n">
        <v>46135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57080-2025</t>
        </is>
      </c>
      <c r="B524" s="1" t="n">
        <v>45979.40725694445</v>
      </c>
      <c r="C524" s="1" t="n">
        <v>46135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21831-2025</t>
        </is>
      </c>
      <c r="B525" s="1" t="n">
        <v>45784.26943287037</v>
      </c>
      <c r="C525" s="1" t="n">
        <v>46135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21934-2025</t>
        </is>
      </c>
      <c r="B526" s="1" t="n">
        <v>45784.56585648148</v>
      </c>
      <c r="C526" s="1" t="n">
        <v>46135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53087-2023</t>
        </is>
      </c>
      <c r="B527" s="1" t="n">
        <v>45227</v>
      </c>
      <c r="C527" s="1" t="n">
        <v>46135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53089-2023</t>
        </is>
      </c>
      <c r="B528" s="1" t="n">
        <v>45227.70106481481</v>
      </c>
      <c r="C528" s="1" t="n">
        <v>46135</v>
      </c>
      <c r="D528" t="inlineStr">
        <is>
          <t>VÄSTRA GÖTALANDS LÄN</t>
        </is>
      </c>
      <c r="E528" t="inlineStr">
        <is>
          <t>ULRICEHAMN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16991-2024</t>
        </is>
      </c>
      <c r="B529" s="1" t="n">
        <v>45412.33222222222</v>
      </c>
      <c r="C529" s="1" t="n">
        <v>46135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58250-2025</t>
        </is>
      </c>
      <c r="B530" s="1" t="n">
        <v>45985.39474537037</v>
      </c>
      <c r="C530" s="1" t="n">
        <v>46135</v>
      </c>
      <c r="D530" t="inlineStr">
        <is>
          <t>VÄSTRA GÖTALANDS LÄN</t>
        </is>
      </c>
      <c r="E530" t="inlineStr">
        <is>
          <t>ULRICEHAMN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8368-2025</t>
        </is>
      </c>
      <c r="B531" s="1" t="n">
        <v>45709.27710648148</v>
      </c>
      <c r="C531" s="1" t="n">
        <v>46135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60441-2023</t>
        </is>
      </c>
      <c r="B532" s="1" t="n">
        <v>45259</v>
      </c>
      <c r="C532" s="1" t="n">
        <v>46135</v>
      </c>
      <c r="D532" t="inlineStr">
        <is>
          <t>VÄSTRA GÖTALANDS LÄN</t>
        </is>
      </c>
      <c r="E532" t="inlineStr">
        <is>
          <t>ULRICEHAMN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52132-2024</t>
        </is>
      </c>
      <c r="B533" s="1" t="n">
        <v>45608.4834837963</v>
      </c>
      <c r="C533" s="1" t="n">
        <v>46135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15736-2022</t>
        </is>
      </c>
      <c r="B534" s="1" t="n">
        <v>44663.5128125</v>
      </c>
      <c r="C534" s="1" t="n">
        <v>46135</v>
      </c>
      <c r="D534" t="inlineStr">
        <is>
          <t>VÄSTRA GÖTALANDS LÄN</t>
        </is>
      </c>
      <c r="E534" t="inlineStr">
        <is>
          <t>ULRICEHAMN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23264-2025</t>
        </is>
      </c>
      <c r="B535" s="1" t="n">
        <v>45791.5541087963</v>
      </c>
      <c r="C535" s="1" t="n">
        <v>46135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53829-2023</t>
        </is>
      </c>
      <c r="B536" s="1" t="n">
        <v>45231</v>
      </c>
      <c r="C536" s="1" t="n">
        <v>46135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399-2025</t>
        </is>
      </c>
      <c r="B537" s="1" t="n">
        <v>45663</v>
      </c>
      <c r="C537" s="1" t="n">
        <v>46135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37501-2023</t>
        </is>
      </c>
      <c r="B538" s="1" t="n">
        <v>45157</v>
      </c>
      <c r="C538" s="1" t="n">
        <v>46135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23267-2025</t>
        </is>
      </c>
      <c r="B539" s="1" t="n">
        <v>45791.55678240741</v>
      </c>
      <c r="C539" s="1" t="n">
        <v>46135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22939-2025</t>
        </is>
      </c>
      <c r="B540" s="1" t="n">
        <v>45790.4675462963</v>
      </c>
      <c r="C540" s="1" t="n">
        <v>46135</v>
      </c>
      <c r="D540" t="inlineStr">
        <is>
          <t>VÄSTRA GÖTALANDS LÄN</t>
        </is>
      </c>
      <c r="E540" t="inlineStr">
        <is>
          <t>ULRICEHAMN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35764-2022</t>
        </is>
      </c>
      <c r="B541" s="1" t="n">
        <v>44800.34206018518</v>
      </c>
      <c r="C541" s="1" t="n">
        <v>46135</v>
      </c>
      <c r="D541" t="inlineStr">
        <is>
          <t>VÄSTRA GÖTALANDS LÄN</t>
        </is>
      </c>
      <c r="E541" t="inlineStr">
        <is>
          <t>ULRICEHAMN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22937-2025</t>
        </is>
      </c>
      <c r="B542" s="1" t="n">
        <v>45790.46292824074</v>
      </c>
      <c r="C542" s="1" t="n">
        <v>46135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59215-2025</t>
        </is>
      </c>
      <c r="B543" s="1" t="n">
        <v>45988.61628472222</v>
      </c>
      <c r="C543" s="1" t="n">
        <v>46135</v>
      </c>
      <c r="D543" t="inlineStr">
        <is>
          <t>VÄSTRA GÖTALANDS LÄN</t>
        </is>
      </c>
      <c r="E543" t="inlineStr">
        <is>
          <t>ULRICEHAMN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62620-2021</t>
        </is>
      </c>
      <c r="B544" s="1" t="n">
        <v>44503.71177083333</v>
      </c>
      <c r="C544" s="1" t="n">
        <v>46135</v>
      </c>
      <c r="D544" t="inlineStr">
        <is>
          <t>VÄSTRA GÖTALANDS LÄN</t>
        </is>
      </c>
      <c r="E544" t="inlineStr">
        <is>
          <t>ULRICEHAMN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17585-2025</t>
        </is>
      </c>
      <c r="B545" s="1" t="n">
        <v>45757.6740162037</v>
      </c>
      <c r="C545" s="1" t="n">
        <v>46135</v>
      </c>
      <c r="D545" t="inlineStr">
        <is>
          <t>VÄSTRA GÖTALANDS LÄN</t>
        </is>
      </c>
      <c r="E545" t="inlineStr">
        <is>
          <t>ULRICEHAMN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59618-2025</t>
        </is>
      </c>
      <c r="B546" s="1" t="n">
        <v>45992.37965277778</v>
      </c>
      <c r="C546" s="1" t="n">
        <v>46135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59615-2025</t>
        </is>
      </c>
      <c r="B547" s="1" t="n">
        <v>45992.37409722222</v>
      </c>
      <c r="C547" s="1" t="n">
        <v>46135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59620-2025</t>
        </is>
      </c>
      <c r="B548" s="1" t="n">
        <v>45992.38416666666</v>
      </c>
      <c r="C548" s="1" t="n">
        <v>46135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59820-2025</t>
        </is>
      </c>
      <c r="B549" s="1" t="n">
        <v>45992.64228009259</v>
      </c>
      <c r="C549" s="1" t="n">
        <v>46135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59749-2025</t>
        </is>
      </c>
      <c r="B550" s="1" t="n">
        <v>45992.58390046296</v>
      </c>
      <c r="C550" s="1" t="n">
        <v>46135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59752-2025</t>
        </is>
      </c>
      <c r="B551" s="1" t="n">
        <v>45992.58576388889</v>
      </c>
      <c r="C551" s="1" t="n">
        <v>46135</v>
      </c>
      <c r="D551" t="inlineStr">
        <is>
          <t>VÄSTRA GÖTALANDS LÄN</t>
        </is>
      </c>
      <c r="E551" t="inlineStr">
        <is>
          <t>ULRICEHAMN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59600-2025</t>
        </is>
      </c>
      <c r="B552" s="1" t="n">
        <v>45992.35840277778</v>
      </c>
      <c r="C552" s="1" t="n">
        <v>46135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27.9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24301-2025</t>
        </is>
      </c>
      <c r="B553" s="1" t="n">
        <v>45797.4844212963</v>
      </c>
      <c r="C553" s="1" t="n">
        <v>46135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59563-2025</t>
        </is>
      </c>
      <c r="B554" s="1" t="n">
        <v>45991.7721875</v>
      </c>
      <c r="C554" s="1" t="n">
        <v>46135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24306-2025</t>
        </is>
      </c>
      <c r="B555" s="1" t="n">
        <v>45797.49297453704</v>
      </c>
      <c r="C555" s="1" t="n">
        <v>46135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15727-2022</t>
        </is>
      </c>
      <c r="B556" s="1" t="n">
        <v>44663</v>
      </c>
      <c r="C556" s="1" t="n">
        <v>46135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60168-2025</t>
        </is>
      </c>
      <c r="B557" s="1" t="n">
        <v>45994.44393518518</v>
      </c>
      <c r="C557" s="1" t="n">
        <v>46135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60164-2025</t>
        </is>
      </c>
      <c r="B558" s="1" t="n">
        <v>45994.43108796296</v>
      </c>
      <c r="C558" s="1" t="n">
        <v>46135</v>
      </c>
      <c r="D558" t="inlineStr">
        <is>
          <t>VÄSTRA GÖTALANDS LÄN</t>
        </is>
      </c>
      <c r="E558" t="inlineStr">
        <is>
          <t>ULRICEHAMN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60165-2025</t>
        </is>
      </c>
      <c r="B559" s="1" t="n">
        <v>45994.4335300926</v>
      </c>
      <c r="C559" s="1" t="n">
        <v>46135</v>
      </c>
      <c r="D559" t="inlineStr">
        <is>
          <t>VÄSTRA GÖTALANDS LÄN</t>
        </is>
      </c>
      <c r="E559" t="inlineStr">
        <is>
          <t>ULRICEHAMN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23854-2023</t>
        </is>
      </c>
      <c r="B560" s="1" t="n">
        <v>45075</v>
      </c>
      <c r="C560" s="1" t="n">
        <v>46135</v>
      </c>
      <c r="D560" t="inlineStr">
        <is>
          <t>VÄSTRA GÖTALANDS LÄN</t>
        </is>
      </c>
      <c r="E560" t="inlineStr">
        <is>
          <t>ULRICEHAMN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60160-2025</t>
        </is>
      </c>
      <c r="B561" s="1" t="n">
        <v>45994.42851851852</v>
      </c>
      <c r="C561" s="1" t="n">
        <v>46135</v>
      </c>
      <c r="D561" t="inlineStr">
        <is>
          <t>VÄSTRA GÖTALANDS LÄN</t>
        </is>
      </c>
      <c r="E561" t="inlineStr">
        <is>
          <t>ULRICEHAMN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60179-2025</t>
        </is>
      </c>
      <c r="B562" s="1" t="n">
        <v>45994.45789351852</v>
      </c>
      <c r="C562" s="1" t="n">
        <v>46135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60187-2025</t>
        </is>
      </c>
      <c r="B563" s="1" t="n">
        <v>45994.47895833333</v>
      </c>
      <c r="C563" s="1" t="n">
        <v>46135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60159-2025</t>
        </is>
      </c>
      <c r="B564" s="1" t="n">
        <v>45994.42839120371</v>
      </c>
      <c r="C564" s="1" t="n">
        <v>46135</v>
      </c>
      <c r="D564" t="inlineStr">
        <is>
          <t>VÄSTRA GÖTALANDS LÄN</t>
        </is>
      </c>
      <c r="E564" t="inlineStr">
        <is>
          <t>ULRICEHAMN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24347-2025</t>
        </is>
      </c>
      <c r="B565" s="1" t="n">
        <v>45797.58068287037</v>
      </c>
      <c r="C565" s="1" t="n">
        <v>46135</v>
      </c>
      <c r="D565" t="inlineStr">
        <is>
          <t>VÄSTRA GÖTALANDS LÄN</t>
        </is>
      </c>
      <c r="E565" t="inlineStr">
        <is>
          <t>ULRICEHAMN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24901-2025</t>
        </is>
      </c>
      <c r="B566" s="1" t="n">
        <v>45799.52417824074</v>
      </c>
      <c r="C566" s="1" t="n">
        <v>46135</v>
      </c>
      <c r="D566" t="inlineStr">
        <is>
          <t>VÄSTRA GÖTALANDS LÄN</t>
        </is>
      </c>
      <c r="E566" t="inlineStr">
        <is>
          <t>ULRICEHAMN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60704-2025</t>
        </is>
      </c>
      <c r="B567" s="1" t="n">
        <v>45996</v>
      </c>
      <c r="C567" s="1" t="n">
        <v>46135</v>
      </c>
      <c r="D567" t="inlineStr">
        <is>
          <t>VÄSTRA GÖTALANDS LÄN</t>
        </is>
      </c>
      <c r="E567" t="inlineStr">
        <is>
          <t>ULRICEHAMN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62647-2023</t>
        </is>
      </c>
      <c r="B568" s="1" t="n">
        <v>45271</v>
      </c>
      <c r="C568" s="1" t="n">
        <v>46135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7428-2022</t>
        </is>
      </c>
      <c r="B569" s="1" t="n">
        <v>44606.89891203704</v>
      </c>
      <c r="C569" s="1" t="n">
        <v>46135</v>
      </c>
      <c r="D569" t="inlineStr">
        <is>
          <t>VÄSTRA GÖTALANDS LÄN</t>
        </is>
      </c>
      <c r="E569" t="inlineStr">
        <is>
          <t>ULRICEHAMN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60932-2025</t>
        </is>
      </c>
      <c r="B570" s="1" t="n">
        <v>45999.63842592593</v>
      </c>
      <c r="C570" s="1" t="n">
        <v>46135</v>
      </c>
      <c r="D570" t="inlineStr">
        <is>
          <t>VÄSTRA GÖTALANDS LÄN</t>
        </is>
      </c>
      <c r="E570" t="inlineStr">
        <is>
          <t>ULRICEHAMN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61536-2025</t>
        </is>
      </c>
      <c r="B571" s="1" t="n">
        <v>46001.71747685185</v>
      </c>
      <c r="C571" s="1" t="n">
        <v>46135</v>
      </c>
      <c r="D571" t="inlineStr">
        <is>
          <t>VÄSTRA GÖTALANDS LÄN</t>
        </is>
      </c>
      <c r="E571" t="inlineStr">
        <is>
          <t>ULRICEHAMN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61534-2025</t>
        </is>
      </c>
      <c r="B572" s="1" t="n">
        <v>46001.7137962963</v>
      </c>
      <c r="C572" s="1" t="n">
        <v>46135</v>
      </c>
      <c r="D572" t="inlineStr">
        <is>
          <t>VÄSTRA GÖTALANDS LÄN</t>
        </is>
      </c>
      <c r="E572" t="inlineStr">
        <is>
          <t>ULRICEHAMN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7526-2022</t>
        </is>
      </c>
      <c r="B573" s="1" t="n">
        <v>44607.50556712963</v>
      </c>
      <c r="C573" s="1" t="n">
        <v>46135</v>
      </c>
      <c r="D573" t="inlineStr">
        <is>
          <t>VÄSTRA GÖTALANDS LÄN</t>
        </is>
      </c>
      <c r="E573" t="inlineStr">
        <is>
          <t>ULRICEHAMN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7528-2022</t>
        </is>
      </c>
      <c r="B574" s="1" t="n">
        <v>44607.50699074074</v>
      </c>
      <c r="C574" s="1" t="n">
        <v>46135</v>
      </c>
      <c r="D574" t="inlineStr">
        <is>
          <t>VÄSTRA GÖTALANDS LÄN</t>
        </is>
      </c>
      <c r="E574" t="inlineStr">
        <is>
          <t>ULRICEHAMN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74199-2021</t>
        </is>
      </c>
      <c r="B575" s="1" t="n">
        <v>44558</v>
      </c>
      <c r="C575" s="1" t="n">
        <v>46135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45002.44510416667</v>
      </c>
      <c r="C576" s="1" t="n">
        <v>46135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60274-2023</t>
        </is>
      </c>
      <c r="B577" s="1" t="n">
        <v>45258.67806712963</v>
      </c>
      <c r="C577" s="1" t="n">
        <v>46135</v>
      </c>
      <c r="D577" t="inlineStr">
        <is>
          <t>VÄSTRA GÖTALANDS LÄN</t>
        </is>
      </c>
      <c r="E577" t="inlineStr">
        <is>
          <t>ULRICEHAMN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61537-2025</t>
        </is>
      </c>
      <c r="B578" s="1" t="n">
        <v>46001.71782407408</v>
      </c>
      <c r="C578" s="1" t="n">
        <v>46135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64794-2023</t>
        </is>
      </c>
      <c r="B579" s="1" t="n">
        <v>45282.36902777778</v>
      </c>
      <c r="C579" s="1" t="n">
        <v>46135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24587-2025</t>
        </is>
      </c>
      <c r="B580" s="1" t="n">
        <v>45798.52392361111</v>
      </c>
      <c r="C580" s="1" t="n">
        <v>46135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24700-2025</t>
        </is>
      </c>
      <c r="B581" s="1" t="n">
        <v>45798.74115740741</v>
      </c>
      <c r="C581" s="1" t="n">
        <v>46135</v>
      </c>
      <c r="D581" t="inlineStr">
        <is>
          <t>VÄSTRA GÖTALANDS LÄN</t>
        </is>
      </c>
      <c r="E581" t="inlineStr">
        <is>
          <t>ULRICEHAMN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45479-2023</t>
        </is>
      </c>
      <c r="B582" s="1" t="n">
        <v>45194.44847222222</v>
      </c>
      <c r="C582" s="1" t="n">
        <v>46135</v>
      </c>
      <c r="D582" t="inlineStr">
        <is>
          <t>VÄSTRA GÖTALANDS LÄN</t>
        </is>
      </c>
      <c r="E582" t="inlineStr">
        <is>
          <t>ULRICEHAMN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26048-2025</t>
        </is>
      </c>
      <c r="B583" s="1" t="n">
        <v>45804.71013888889</v>
      </c>
      <c r="C583" s="1" t="n">
        <v>46135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59802-2023</t>
        </is>
      </c>
      <c r="B584" s="1" t="n">
        <v>45257</v>
      </c>
      <c r="C584" s="1" t="n">
        <v>46135</v>
      </c>
      <c r="D584" t="inlineStr">
        <is>
          <t>VÄSTRA GÖTALANDS LÄN</t>
        </is>
      </c>
      <c r="E584" t="inlineStr">
        <is>
          <t>ULRICEHAMN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531-2024</t>
        </is>
      </c>
      <c r="B585" s="1" t="n">
        <v>45299</v>
      </c>
      <c r="C585" s="1" t="n">
        <v>46135</v>
      </c>
      <c r="D585" t="inlineStr">
        <is>
          <t>VÄSTRA GÖTALANDS LÄN</t>
        </is>
      </c>
      <c r="E585" t="inlineStr">
        <is>
          <t>ULRICEHAMN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64734-2023</t>
        </is>
      </c>
      <c r="B586" s="1" t="n">
        <v>45281.83204861111</v>
      </c>
      <c r="C586" s="1" t="n">
        <v>46135</v>
      </c>
      <c r="D586" t="inlineStr">
        <is>
          <t>VÄSTRA GÖTALANDS LÄN</t>
        </is>
      </c>
      <c r="E586" t="inlineStr">
        <is>
          <t>ULRICEHAMN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64736-2023</t>
        </is>
      </c>
      <c r="B587" s="1" t="n">
        <v>45281.8468287037</v>
      </c>
      <c r="C587" s="1" t="n">
        <v>46135</v>
      </c>
      <c r="D587" t="inlineStr">
        <is>
          <t>VÄSTRA GÖTALANDS LÄN</t>
        </is>
      </c>
      <c r="E587" t="inlineStr">
        <is>
          <t>ULRICEHAMN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64738-2023</t>
        </is>
      </c>
      <c r="B588" s="1" t="n">
        <v>45281</v>
      </c>
      <c r="C588" s="1" t="n">
        <v>46135</v>
      </c>
      <c r="D588" t="inlineStr">
        <is>
          <t>VÄSTRA GÖTALANDS LÄN</t>
        </is>
      </c>
      <c r="E588" t="inlineStr">
        <is>
          <t>ULRICEHAMN</t>
        </is>
      </c>
      <c r="G588" t="n">
        <v>14.1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26077-2025</t>
        </is>
      </c>
      <c r="B589" s="1" t="n">
        <v>45805.33483796296</v>
      </c>
      <c r="C589" s="1" t="n">
        <v>46135</v>
      </c>
      <c r="D589" t="inlineStr">
        <is>
          <t>VÄSTRA GÖTALANDS LÄN</t>
        </is>
      </c>
      <c r="E589" t="inlineStr">
        <is>
          <t>ULRICEHAMN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25921-2025</t>
        </is>
      </c>
      <c r="B590" s="1" t="n">
        <v>45804.57174768519</v>
      </c>
      <c r="C590" s="1" t="n">
        <v>46135</v>
      </c>
      <c r="D590" t="inlineStr">
        <is>
          <t>VÄSTRA GÖTALANDS LÄN</t>
        </is>
      </c>
      <c r="E590" t="inlineStr">
        <is>
          <t>ULRICEHAMN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62920-2025</t>
        </is>
      </c>
      <c r="B591" s="1" t="n">
        <v>46009.37592592592</v>
      </c>
      <c r="C591" s="1" t="n">
        <v>46135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26377-2025</t>
        </is>
      </c>
      <c r="B592" s="1" t="n">
        <v>45806.48881944444</v>
      </c>
      <c r="C592" s="1" t="n">
        <v>46135</v>
      </c>
      <c r="D592" t="inlineStr">
        <is>
          <t>VÄSTRA GÖTALANDS LÄN</t>
        </is>
      </c>
      <c r="E592" t="inlineStr">
        <is>
          <t>ULRICEHAMN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26384-2025</t>
        </is>
      </c>
      <c r="B593" s="1" t="n">
        <v>45806.49756944444</v>
      </c>
      <c r="C593" s="1" t="n">
        <v>46135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26376-2025</t>
        </is>
      </c>
      <c r="B594" s="1" t="n">
        <v>45806.48766203703</v>
      </c>
      <c r="C594" s="1" t="n">
        <v>46135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26380-2025</t>
        </is>
      </c>
      <c r="B595" s="1" t="n">
        <v>45806.49197916667</v>
      </c>
      <c r="C595" s="1" t="n">
        <v>46135</v>
      </c>
      <c r="D595" t="inlineStr">
        <is>
          <t>VÄSTRA GÖTALANDS LÄN</t>
        </is>
      </c>
      <c r="E595" t="inlineStr">
        <is>
          <t>ULRICEHAMN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26381-2025</t>
        </is>
      </c>
      <c r="B596" s="1" t="n">
        <v>45806.49351851852</v>
      </c>
      <c r="C596" s="1" t="n">
        <v>46135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26382-2025</t>
        </is>
      </c>
      <c r="B597" s="1" t="n">
        <v>45806.49508101852</v>
      </c>
      <c r="C597" s="1" t="n">
        <v>46135</v>
      </c>
      <c r="D597" t="inlineStr">
        <is>
          <t>VÄSTRA GÖTALANDS LÄN</t>
        </is>
      </c>
      <c r="E597" t="inlineStr">
        <is>
          <t>ULRICEHAMN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26383-2025</t>
        </is>
      </c>
      <c r="B598" s="1" t="n">
        <v>45806.49650462963</v>
      </c>
      <c r="C598" s="1" t="n">
        <v>46135</v>
      </c>
      <c r="D598" t="inlineStr">
        <is>
          <t>VÄSTRA GÖTALANDS LÄN</t>
        </is>
      </c>
      <c r="E598" t="inlineStr">
        <is>
          <t>ULRICEHAMN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26385-2025</t>
        </is>
      </c>
      <c r="B599" s="1" t="n">
        <v>45806.49885416667</v>
      </c>
      <c r="C599" s="1" t="n">
        <v>46135</v>
      </c>
      <c r="D599" t="inlineStr">
        <is>
          <t>VÄSTRA GÖTALANDS LÄN</t>
        </is>
      </c>
      <c r="E599" t="inlineStr">
        <is>
          <t>ULRICEHAMN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49152-2024</t>
        </is>
      </c>
      <c r="B600" s="1" t="n">
        <v>45594.78761574074</v>
      </c>
      <c r="C600" s="1" t="n">
        <v>46135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5154-2025</t>
        </is>
      </c>
      <c r="B601" s="1" t="n">
        <v>45691.60403935185</v>
      </c>
      <c r="C601" s="1" t="n">
        <v>46135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5647-2025</t>
        </is>
      </c>
      <c r="B602" s="1" t="n">
        <v>45693.69725694445</v>
      </c>
      <c r="C602" s="1" t="n">
        <v>46135</v>
      </c>
      <c r="D602" t="inlineStr">
        <is>
          <t>VÄSTRA GÖTALANDS LÄN</t>
        </is>
      </c>
      <c r="E602" t="inlineStr">
        <is>
          <t>ULRICEHAMN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55007-2024</t>
        </is>
      </c>
      <c r="B603" s="1" t="n">
        <v>45621.33743055556</v>
      </c>
      <c r="C603" s="1" t="n">
        <v>46135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33611-2023</t>
        </is>
      </c>
      <c r="B604" s="1" t="n">
        <v>45132.34326388889</v>
      </c>
      <c r="C604" s="1" t="n">
        <v>46135</v>
      </c>
      <c r="D604" t="inlineStr">
        <is>
          <t>VÄSTRA GÖTALANDS LÄN</t>
        </is>
      </c>
      <c r="E604" t="inlineStr">
        <is>
          <t>ULRICEHAMN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5174-2025</t>
        </is>
      </c>
      <c r="B605" s="1" t="n">
        <v>45691.61997685185</v>
      </c>
      <c r="C605" s="1" t="n">
        <v>46135</v>
      </c>
      <c r="D605" t="inlineStr">
        <is>
          <t>VÄSTRA GÖTALANDS LÄN</t>
        </is>
      </c>
      <c r="E605" t="inlineStr">
        <is>
          <t>ULRICEHAMN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39845-2024</t>
        </is>
      </c>
      <c r="B606" s="1" t="n">
        <v>45553.4275</v>
      </c>
      <c r="C606" s="1" t="n">
        <v>46135</v>
      </c>
      <c r="D606" t="inlineStr">
        <is>
          <t>VÄSTRA GÖTALANDS LÄN</t>
        </is>
      </c>
      <c r="E606" t="inlineStr">
        <is>
          <t>ULRICEHAMN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39849-2024</t>
        </is>
      </c>
      <c r="B607" s="1" t="n">
        <v>45553.42861111111</v>
      </c>
      <c r="C607" s="1" t="n">
        <v>46135</v>
      </c>
      <c r="D607" t="inlineStr">
        <is>
          <t>VÄSTRA GÖTALANDS LÄN</t>
        </is>
      </c>
      <c r="E607" t="inlineStr">
        <is>
          <t>ULRICEHAMN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6320-2025</t>
        </is>
      </c>
      <c r="B608" s="1" t="n">
        <v>45698.81115740741</v>
      </c>
      <c r="C608" s="1" t="n">
        <v>46135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5180-2025</t>
        </is>
      </c>
      <c r="B609" s="1" t="n">
        <v>45691.6365625</v>
      </c>
      <c r="C609" s="1" t="n">
        <v>46135</v>
      </c>
      <c r="D609" t="inlineStr">
        <is>
          <t>VÄSTRA GÖTALANDS LÄN</t>
        </is>
      </c>
      <c r="E609" t="inlineStr">
        <is>
          <t>ULRICEHAMN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28107-2023</t>
        </is>
      </c>
      <c r="B610" s="1" t="n">
        <v>45099.45586805556</v>
      </c>
      <c r="C610" s="1" t="n">
        <v>46135</v>
      </c>
      <c r="D610" t="inlineStr">
        <is>
          <t>VÄSTRA GÖTALANDS LÄN</t>
        </is>
      </c>
      <c r="E610" t="inlineStr">
        <is>
          <t>ULRICEHAMN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9581-2025</t>
        </is>
      </c>
      <c r="B611" s="1" t="n">
        <v>45715.63009259259</v>
      </c>
      <c r="C611" s="1" t="n">
        <v>46135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11509-2025</t>
        </is>
      </c>
      <c r="B612" s="1" t="n">
        <v>45726.8350462963</v>
      </c>
      <c r="C612" s="1" t="n">
        <v>46135</v>
      </c>
      <c r="D612" t="inlineStr">
        <is>
          <t>VÄSTRA GÖTALANDS LÄN</t>
        </is>
      </c>
      <c r="E612" t="inlineStr">
        <is>
          <t>ULRICEHAMN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55763-2023</t>
        </is>
      </c>
      <c r="B613" s="1" t="n">
        <v>45239.47608796296</v>
      </c>
      <c r="C613" s="1" t="n">
        <v>46135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4759-2025</t>
        </is>
      </c>
      <c r="B614" s="1" t="n">
        <v>45688.47086805556</v>
      </c>
      <c r="C614" s="1" t="n">
        <v>46135</v>
      </c>
      <c r="D614" t="inlineStr">
        <is>
          <t>VÄSTRA GÖTALANDS LÄN</t>
        </is>
      </c>
      <c r="E614" t="inlineStr">
        <is>
          <t>ULRICEHAMN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6420-2025</t>
        </is>
      </c>
      <c r="B615" s="1" t="n">
        <v>45699.48056712963</v>
      </c>
      <c r="C615" s="1" t="n">
        <v>46135</v>
      </c>
      <c r="D615" t="inlineStr">
        <is>
          <t>VÄSTRA GÖTALANDS LÄN</t>
        </is>
      </c>
      <c r="E615" t="inlineStr">
        <is>
          <t>ULRICEHAMN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7020-2025</t>
        </is>
      </c>
      <c r="B616" s="1" t="n">
        <v>45701.6150462963</v>
      </c>
      <c r="C616" s="1" t="n">
        <v>46135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Kyrkan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7704-2025</t>
        </is>
      </c>
      <c r="B617" s="1" t="n">
        <v>45706.4105324074</v>
      </c>
      <c r="C617" s="1" t="n">
        <v>46135</v>
      </c>
      <c r="D617" t="inlineStr">
        <is>
          <t>VÄSTRA GÖTALANDS LÄN</t>
        </is>
      </c>
      <c r="E617" t="inlineStr">
        <is>
          <t>ULRICEHAMN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6321-2025</t>
        </is>
      </c>
      <c r="B618" s="1" t="n">
        <v>45698</v>
      </c>
      <c r="C618" s="1" t="n">
        <v>46135</v>
      </c>
      <c r="D618" t="inlineStr">
        <is>
          <t>VÄSTRA GÖTALANDS LÄN</t>
        </is>
      </c>
      <c r="E618" t="inlineStr">
        <is>
          <t>ULRICEHAMN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50965-2024</t>
        </is>
      </c>
      <c r="B619" s="1" t="n">
        <v>45603</v>
      </c>
      <c r="C619" s="1" t="n">
        <v>46135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50966-2024</t>
        </is>
      </c>
      <c r="B620" s="1" t="n">
        <v>45603</v>
      </c>
      <c r="C620" s="1" t="n">
        <v>46135</v>
      </c>
      <c r="D620" t="inlineStr">
        <is>
          <t>VÄSTRA GÖTALANDS LÄN</t>
        </is>
      </c>
      <c r="E620" t="inlineStr">
        <is>
          <t>ULRICEHAMN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27353-2024</t>
        </is>
      </c>
      <c r="B621" s="1" t="n">
        <v>45473.68792824074</v>
      </c>
      <c r="C621" s="1" t="n">
        <v>46135</v>
      </c>
      <c r="D621" t="inlineStr">
        <is>
          <t>VÄSTRA GÖTALANDS LÄN</t>
        </is>
      </c>
      <c r="E621" t="inlineStr">
        <is>
          <t>ULRICEHAMN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7094-2024</t>
        </is>
      </c>
      <c r="B622" s="1" t="n">
        <v>45343</v>
      </c>
      <c r="C622" s="1" t="n">
        <v>46135</v>
      </c>
      <c r="D622" t="inlineStr">
        <is>
          <t>VÄSTRA GÖTALANDS LÄN</t>
        </is>
      </c>
      <c r="E622" t="inlineStr">
        <is>
          <t>ULRICEHAMN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45139-2023</t>
        </is>
      </c>
      <c r="B623" s="1" t="n">
        <v>45191</v>
      </c>
      <c r="C623" s="1" t="n">
        <v>46135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150-2025</t>
        </is>
      </c>
      <c r="B624" s="1" t="n">
        <v>45659.61055555556</v>
      </c>
      <c r="C624" s="1" t="n">
        <v>46135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18656-2023</t>
        </is>
      </c>
      <c r="B625" s="1" t="n">
        <v>45043</v>
      </c>
      <c r="C625" s="1" t="n">
        <v>46135</v>
      </c>
      <c r="D625" t="inlineStr">
        <is>
          <t>VÄSTRA GÖTALANDS LÄN</t>
        </is>
      </c>
      <c r="E625" t="inlineStr">
        <is>
          <t>ULRICEHAMN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6571-2024</t>
        </is>
      </c>
      <c r="B626" s="1" t="n">
        <v>45341</v>
      </c>
      <c r="C626" s="1" t="n">
        <v>46135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27655-2025</t>
        </is>
      </c>
      <c r="B627" s="1" t="n">
        <v>45813.60436342593</v>
      </c>
      <c r="C627" s="1" t="n">
        <v>46135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3225-2024</t>
        </is>
      </c>
      <c r="B628" s="1" t="n">
        <v>45316.87039351852</v>
      </c>
      <c r="C628" s="1" t="n">
        <v>46135</v>
      </c>
      <c r="D628" t="inlineStr">
        <is>
          <t>VÄSTRA GÖTALANDS LÄN</t>
        </is>
      </c>
      <c r="E628" t="inlineStr">
        <is>
          <t>ULRICEHAMN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9599-2024</t>
        </is>
      </c>
      <c r="B629" s="1" t="n">
        <v>45361</v>
      </c>
      <c r="C629" s="1" t="n">
        <v>46135</v>
      </c>
      <c r="D629" t="inlineStr">
        <is>
          <t>VÄSTRA GÖTALANDS LÄN</t>
        </is>
      </c>
      <c r="E629" t="inlineStr">
        <is>
          <t>ULRICEHAMN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345-2024</t>
        </is>
      </c>
      <c r="B630" s="1" t="n">
        <v>45295</v>
      </c>
      <c r="C630" s="1" t="n">
        <v>46135</v>
      </c>
      <c r="D630" t="inlineStr">
        <is>
          <t>VÄSTRA GÖTALANDS LÄN</t>
        </is>
      </c>
      <c r="E630" t="inlineStr">
        <is>
          <t>ULRICEHAMN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27733-2025</t>
        </is>
      </c>
      <c r="B631" s="1" t="n">
        <v>45814.74278935185</v>
      </c>
      <c r="C631" s="1" t="n">
        <v>46135</v>
      </c>
      <c r="D631" t="inlineStr">
        <is>
          <t>VÄSTRA GÖTALANDS LÄN</t>
        </is>
      </c>
      <c r="E631" t="inlineStr">
        <is>
          <t>ULRICEHAMN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40337-2025</t>
        </is>
      </c>
      <c r="B632" s="1" t="n">
        <v>45895.46729166667</v>
      </c>
      <c r="C632" s="1" t="n">
        <v>46135</v>
      </c>
      <c r="D632" t="inlineStr">
        <is>
          <t>VÄSTRA GÖTALANDS LÄN</t>
        </is>
      </c>
      <c r="E632" t="inlineStr">
        <is>
          <t>ULRICEHAMN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49768-2023</t>
        </is>
      </c>
      <c r="B633" s="1" t="n">
        <v>45212.56842592593</v>
      </c>
      <c r="C633" s="1" t="n">
        <v>46135</v>
      </c>
      <c r="D633" t="inlineStr">
        <is>
          <t>VÄSTRA GÖTALANDS LÄN</t>
        </is>
      </c>
      <c r="E633" t="inlineStr">
        <is>
          <t>ULRICEHAMN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13160-2025</t>
        </is>
      </c>
      <c r="B634" s="1" t="n">
        <v>45735.36002314815</v>
      </c>
      <c r="C634" s="1" t="n">
        <v>46135</v>
      </c>
      <c r="D634" t="inlineStr">
        <is>
          <t>VÄSTRA GÖTALANDS LÄN</t>
        </is>
      </c>
      <c r="E634" t="inlineStr">
        <is>
          <t>ULRICEHAMN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636-2026</t>
        </is>
      </c>
      <c r="B635" s="1" t="n">
        <v>46029.5588425926</v>
      </c>
      <c r="C635" s="1" t="n">
        <v>46135</v>
      </c>
      <c r="D635" t="inlineStr">
        <is>
          <t>VÄSTRA GÖTALANDS LÄN</t>
        </is>
      </c>
      <c r="E635" t="inlineStr">
        <is>
          <t>ULRICEHAMN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488-2026</t>
        </is>
      </c>
      <c r="B636" s="1" t="n">
        <v>46029.42180555555</v>
      </c>
      <c r="C636" s="1" t="n">
        <v>46135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832-2026</t>
        </is>
      </c>
      <c r="B637" s="1" t="n">
        <v>46030.36761574074</v>
      </c>
      <c r="C637" s="1" t="n">
        <v>46135</v>
      </c>
      <c r="D637" t="inlineStr">
        <is>
          <t>VÄSTRA GÖTALANDS LÄN</t>
        </is>
      </c>
      <c r="E637" t="inlineStr">
        <is>
          <t>ULRICEHAMN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30770-2023</t>
        </is>
      </c>
      <c r="B638" s="1" t="n">
        <v>45112.68491898148</v>
      </c>
      <c r="C638" s="1" t="n">
        <v>46135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1056-2026</t>
        </is>
      </c>
      <c r="B639" s="1" t="n">
        <v>46030.63563657407</v>
      </c>
      <c r="C639" s="1" t="n">
        <v>46135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48599-2024</t>
        </is>
      </c>
      <c r="B640" s="1" t="n">
        <v>45593.44611111111</v>
      </c>
      <c r="C640" s="1" t="n">
        <v>46135</v>
      </c>
      <c r="D640" t="inlineStr">
        <is>
          <t>VÄSTRA GÖTALANDS LÄN</t>
        </is>
      </c>
      <c r="E640" t="inlineStr">
        <is>
          <t>ULRICEHAMN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29057-2025</t>
        </is>
      </c>
      <c r="B641" s="1" t="n">
        <v>45821.47336805556</v>
      </c>
      <c r="C641" s="1" t="n">
        <v>46135</v>
      </c>
      <c r="D641" t="inlineStr">
        <is>
          <t>VÄSTRA GÖTALANDS LÄN</t>
        </is>
      </c>
      <c r="E641" t="inlineStr">
        <is>
          <t>ULRICEHAMN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46505-2024</t>
        </is>
      </c>
      <c r="B642" s="1" t="n">
        <v>45582.61121527778</v>
      </c>
      <c r="C642" s="1" t="n">
        <v>46135</v>
      </c>
      <c r="D642" t="inlineStr">
        <is>
          <t>VÄSTRA GÖTALANDS LÄN</t>
        </is>
      </c>
      <c r="E642" t="inlineStr">
        <is>
          <t>ULRICEHAMN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29515-2025</t>
        </is>
      </c>
      <c r="B643" s="1" t="n">
        <v>45825.31734953704</v>
      </c>
      <c r="C643" s="1" t="n">
        <v>46135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18920-2024</t>
        </is>
      </c>
      <c r="B644" s="1" t="n">
        <v>45427.41087962963</v>
      </c>
      <c r="C644" s="1" t="n">
        <v>46135</v>
      </c>
      <c r="D644" t="inlineStr">
        <is>
          <t>VÄSTRA GÖTALANDS LÄN</t>
        </is>
      </c>
      <c r="E644" t="inlineStr">
        <is>
          <t>ULRICEHAMN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4274-2024</t>
        </is>
      </c>
      <c r="B645" s="1" t="n">
        <v>45324</v>
      </c>
      <c r="C645" s="1" t="n">
        <v>46135</v>
      </c>
      <c r="D645" t="inlineStr">
        <is>
          <t>VÄSTRA GÖTALANDS LÄN</t>
        </is>
      </c>
      <c r="E645" t="inlineStr">
        <is>
          <t>ULRICEHAMN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4282-2024</t>
        </is>
      </c>
      <c r="B646" s="1" t="n">
        <v>45324.58748842592</v>
      </c>
      <c r="C646" s="1" t="n">
        <v>46135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Kyrkan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9871-2025</t>
        </is>
      </c>
      <c r="B647" s="1" t="n">
        <v>45716.64547453704</v>
      </c>
      <c r="C647" s="1" t="n">
        <v>46135</v>
      </c>
      <c r="D647" t="inlineStr">
        <is>
          <t>VÄSTRA GÖTALANDS LÄN</t>
        </is>
      </c>
      <c r="E647" t="inlineStr">
        <is>
          <t>ULRICEHAMN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55997-2021</t>
        </is>
      </c>
      <c r="B648" s="1" t="n">
        <v>44477</v>
      </c>
      <c r="C648" s="1" t="n">
        <v>46135</v>
      </c>
      <c r="D648" t="inlineStr">
        <is>
          <t>VÄSTRA GÖTALANDS LÄN</t>
        </is>
      </c>
      <c r="E648" t="inlineStr">
        <is>
          <t>ULRICEHAMN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29325-2025</t>
        </is>
      </c>
      <c r="B649" s="1" t="n">
        <v>45824</v>
      </c>
      <c r="C649" s="1" t="n">
        <v>46135</v>
      </c>
      <c r="D649" t="inlineStr">
        <is>
          <t>VÄSTRA GÖTALANDS LÄN</t>
        </is>
      </c>
      <c r="E649" t="inlineStr">
        <is>
          <t>ULRICEHAMN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30036-2025</t>
        </is>
      </c>
      <c r="B650" s="1" t="n">
        <v>45826.57094907408</v>
      </c>
      <c r="C650" s="1" t="n">
        <v>46135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2619-2025</t>
        </is>
      </c>
      <c r="B651" s="1" t="n">
        <v>45675</v>
      </c>
      <c r="C651" s="1" t="n">
        <v>46135</v>
      </c>
      <c r="D651" t="inlineStr">
        <is>
          <t>VÄSTRA GÖTALANDS LÄN</t>
        </is>
      </c>
      <c r="E651" t="inlineStr">
        <is>
          <t>ULRICEHAMN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15064-2025</t>
        </is>
      </c>
      <c r="B652" s="1" t="n">
        <v>45743.74188657408</v>
      </c>
      <c r="C652" s="1" t="n">
        <v>46135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14020-2025</t>
        </is>
      </c>
      <c r="B653" s="1" t="n">
        <v>45740.32759259259</v>
      </c>
      <c r="C653" s="1" t="n">
        <v>46135</v>
      </c>
      <c r="D653" t="inlineStr">
        <is>
          <t>VÄSTRA GÖTALANDS LÄN</t>
        </is>
      </c>
      <c r="E653" t="inlineStr">
        <is>
          <t>ULRICEHAMN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11513-2025</t>
        </is>
      </c>
      <c r="B654" s="1" t="n">
        <v>45726.86369212963</v>
      </c>
      <c r="C654" s="1" t="n">
        <v>46135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11640-2025</t>
        </is>
      </c>
      <c r="B655" s="1" t="n">
        <v>45727.47200231482</v>
      </c>
      <c r="C655" s="1" t="n">
        <v>46135</v>
      </c>
      <c r="D655" t="inlineStr">
        <is>
          <t>VÄSTRA GÖTALANDS LÄN</t>
        </is>
      </c>
      <c r="E655" t="inlineStr">
        <is>
          <t>ULRICEHAMN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11629-2025</t>
        </is>
      </c>
      <c r="B656" s="1" t="n">
        <v>45727.46181712963</v>
      </c>
      <c r="C656" s="1" t="n">
        <v>46135</v>
      </c>
      <c r="D656" t="inlineStr">
        <is>
          <t>VÄSTRA GÖTALANDS LÄN</t>
        </is>
      </c>
      <c r="E656" t="inlineStr">
        <is>
          <t>ULRICEHAMN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30057-2025</t>
        </is>
      </c>
      <c r="B657" s="1" t="n">
        <v>45826.60518518519</v>
      </c>
      <c r="C657" s="1" t="n">
        <v>46135</v>
      </c>
      <c r="D657" t="inlineStr">
        <is>
          <t>VÄSTRA GÖTALANDS LÄN</t>
        </is>
      </c>
      <c r="E657" t="inlineStr">
        <is>
          <t>ULRICEHAMN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29924-2025</t>
        </is>
      </c>
      <c r="B658" s="1" t="n">
        <v>45826.42863425926</v>
      </c>
      <c r="C658" s="1" t="n">
        <v>46135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12438-2025</t>
        </is>
      </c>
      <c r="B659" s="1" t="n">
        <v>45730.47032407407</v>
      </c>
      <c r="C659" s="1" t="n">
        <v>46135</v>
      </c>
      <c r="D659" t="inlineStr">
        <is>
          <t>VÄSTRA GÖTALANDS LÄN</t>
        </is>
      </c>
      <c r="E659" t="inlineStr">
        <is>
          <t>ULRICEHAMN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14952-2025</t>
        </is>
      </c>
      <c r="B660" s="1" t="n">
        <v>45743.58193287037</v>
      </c>
      <c r="C660" s="1" t="n">
        <v>46135</v>
      </c>
      <c r="D660" t="inlineStr">
        <is>
          <t>VÄSTRA GÖTALANDS LÄN</t>
        </is>
      </c>
      <c r="E660" t="inlineStr">
        <is>
          <t>ULRICEHAMN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14935-2025</t>
        </is>
      </c>
      <c r="B661" s="1" t="n">
        <v>45743.55704861111</v>
      </c>
      <c r="C661" s="1" t="n">
        <v>46135</v>
      </c>
      <c r="D661" t="inlineStr">
        <is>
          <t>VÄSTRA GÖTALANDS LÄN</t>
        </is>
      </c>
      <c r="E661" t="inlineStr">
        <is>
          <t>ULRICEHAMN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14943-2025</t>
        </is>
      </c>
      <c r="B662" s="1" t="n">
        <v>45743.56715277778</v>
      </c>
      <c r="C662" s="1" t="n">
        <v>46135</v>
      </c>
      <c r="D662" t="inlineStr">
        <is>
          <t>VÄSTRA GÖTALANDS LÄN</t>
        </is>
      </c>
      <c r="E662" t="inlineStr">
        <is>
          <t>ULRICEHAMN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14948-2025</t>
        </is>
      </c>
      <c r="B663" s="1" t="n">
        <v>45743.57358796296</v>
      </c>
      <c r="C663" s="1" t="n">
        <v>46135</v>
      </c>
      <c r="D663" t="inlineStr">
        <is>
          <t>VÄSTRA GÖTALANDS LÄN</t>
        </is>
      </c>
      <c r="E663" t="inlineStr">
        <is>
          <t>ULRICEHAMN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10270-2025</t>
        </is>
      </c>
      <c r="B664" s="1" t="n">
        <v>45720.38792824074</v>
      </c>
      <c r="C664" s="1" t="n">
        <v>46135</v>
      </c>
      <c r="D664" t="inlineStr">
        <is>
          <t>VÄSTRA GÖTALANDS LÄN</t>
        </is>
      </c>
      <c r="E664" t="inlineStr">
        <is>
          <t>ULRICEHAMN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11512-2025</t>
        </is>
      </c>
      <c r="B665" s="1" t="n">
        <v>45726.84574074074</v>
      </c>
      <c r="C665" s="1" t="n">
        <v>46135</v>
      </c>
      <c r="D665" t="inlineStr">
        <is>
          <t>VÄSTRA GÖTALANDS LÄN</t>
        </is>
      </c>
      <c r="E665" t="inlineStr">
        <is>
          <t>ULRICEHAMN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3318-2026</t>
        </is>
      </c>
      <c r="B666" s="1" t="n">
        <v>46041.69230324074</v>
      </c>
      <c r="C666" s="1" t="n">
        <v>46135</v>
      </c>
      <c r="D666" t="inlineStr">
        <is>
          <t>VÄSTRA GÖTALANDS LÄN</t>
        </is>
      </c>
      <c r="E666" t="inlineStr">
        <is>
          <t>ULRICEHAMN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12551-2022</t>
        </is>
      </c>
      <c r="B667" s="1" t="n">
        <v>44638.75818287037</v>
      </c>
      <c r="C667" s="1" t="n">
        <v>46135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Kommuner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12553-2022</t>
        </is>
      </c>
      <c r="B668" s="1" t="n">
        <v>44638.76068287037</v>
      </c>
      <c r="C668" s="1" t="n">
        <v>46135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30846-2025</t>
        </is>
      </c>
      <c r="B669" s="1" t="n">
        <v>45831.79909722223</v>
      </c>
      <c r="C669" s="1" t="n">
        <v>46135</v>
      </c>
      <c r="D669" t="inlineStr">
        <is>
          <t>VÄSTRA GÖTALANDS LÄN</t>
        </is>
      </c>
      <c r="E669" t="inlineStr">
        <is>
          <t>ULRICEHAMN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31405-2025</t>
        </is>
      </c>
      <c r="B670" s="1" t="n">
        <v>45833.47336805556</v>
      </c>
      <c r="C670" s="1" t="n">
        <v>46135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31410-2025</t>
        </is>
      </c>
      <c r="B671" s="1" t="n">
        <v>45833.4774537037</v>
      </c>
      <c r="C671" s="1" t="n">
        <v>46135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30844-2025</t>
        </is>
      </c>
      <c r="B672" s="1" t="n">
        <v>45831.78528935185</v>
      </c>
      <c r="C672" s="1" t="n">
        <v>46135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31384-2025</t>
        </is>
      </c>
      <c r="B673" s="1" t="n">
        <v>45833.45099537037</v>
      </c>
      <c r="C673" s="1" t="n">
        <v>46135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31391-2025</t>
        </is>
      </c>
      <c r="B674" s="1" t="n">
        <v>45833.46016203704</v>
      </c>
      <c r="C674" s="1" t="n">
        <v>46135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31394-2025</t>
        </is>
      </c>
      <c r="B675" s="1" t="n">
        <v>45833.46310185185</v>
      </c>
      <c r="C675" s="1" t="n">
        <v>46135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59036-2023</t>
        </is>
      </c>
      <c r="B676" s="1" t="n">
        <v>45252</v>
      </c>
      <c r="C676" s="1" t="n">
        <v>46135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30847-2025</t>
        </is>
      </c>
      <c r="B677" s="1" t="n">
        <v>45831.8115625</v>
      </c>
      <c r="C677" s="1" t="n">
        <v>46135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31940-2025</t>
        </is>
      </c>
      <c r="B678" s="1" t="n">
        <v>45835.29754629629</v>
      </c>
      <c r="C678" s="1" t="n">
        <v>46135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8444-2024</t>
        </is>
      </c>
      <c r="B679" s="1" t="n">
        <v>45354.59090277777</v>
      </c>
      <c r="C679" s="1" t="n">
        <v>46135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31615-2025</t>
        </is>
      </c>
      <c r="B680" s="1" t="n">
        <v>45833.8168287037</v>
      </c>
      <c r="C680" s="1" t="n">
        <v>46135</v>
      </c>
      <c r="D680" t="inlineStr">
        <is>
          <t>VÄSTRA GÖTALANDS LÄN</t>
        </is>
      </c>
      <c r="E680" t="inlineStr">
        <is>
          <t>ULRICEHAMN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32211-2025</t>
        </is>
      </c>
      <c r="B681" s="1" t="n">
        <v>45835.58464120371</v>
      </c>
      <c r="C681" s="1" t="n">
        <v>46135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32294-2025</t>
        </is>
      </c>
      <c r="B682" s="1" t="n">
        <v>45835</v>
      </c>
      <c r="C682" s="1" t="n">
        <v>46135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31621-2025</t>
        </is>
      </c>
      <c r="B683" s="1" t="n">
        <v>45833.8891087963</v>
      </c>
      <c r="C683" s="1" t="n">
        <v>46135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32293-2025</t>
        </is>
      </c>
      <c r="B684" s="1" t="n">
        <v>45835</v>
      </c>
      <c r="C684" s="1" t="n">
        <v>46135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32214-2025</t>
        </is>
      </c>
      <c r="B685" s="1" t="n">
        <v>45835.58650462963</v>
      </c>
      <c r="C685" s="1" t="n">
        <v>46135</v>
      </c>
      <c r="D685" t="inlineStr">
        <is>
          <t>VÄSTRA GÖTALANDS LÄN</t>
        </is>
      </c>
      <c r="E685" t="inlineStr">
        <is>
          <t>ULRICEHAMN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32208-2025</t>
        </is>
      </c>
      <c r="B686" s="1" t="n">
        <v>45835.58302083334</v>
      </c>
      <c r="C686" s="1" t="n">
        <v>46135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54405-2023</t>
        </is>
      </c>
      <c r="B687" s="1" t="n">
        <v>45233.38435185186</v>
      </c>
      <c r="C687" s="1" t="n">
        <v>46135</v>
      </c>
      <c r="D687" t="inlineStr">
        <is>
          <t>VÄSTRA GÖTALANDS LÄN</t>
        </is>
      </c>
      <c r="E687" t="inlineStr">
        <is>
          <t>ULRICEHAMN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31939-2025</t>
        </is>
      </c>
      <c r="B688" s="1" t="n">
        <v>45835.29376157407</v>
      </c>
      <c r="C688" s="1" t="n">
        <v>46135</v>
      </c>
      <c r="D688" t="inlineStr">
        <is>
          <t>VÄSTRA GÖTALANDS LÄN</t>
        </is>
      </c>
      <c r="E688" t="inlineStr">
        <is>
          <t>ULRICEHAMN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24996-2023</t>
        </is>
      </c>
      <c r="B689" s="1" t="n">
        <v>45085</v>
      </c>
      <c r="C689" s="1" t="n">
        <v>46135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25000-2023</t>
        </is>
      </c>
      <c r="B690" s="1" t="n">
        <v>45085.65362268518</v>
      </c>
      <c r="C690" s="1" t="n">
        <v>46135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4959-2026</t>
        </is>
      </c>
      <c r="B691" s="1" t="n">
        <v>46049.30671296296</v>
      </c>
      <c r="C691" s="1" t="n">
        <v>46135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32610-2025</t>
        </is>
      </c>
      <c r="B692" s="1" t="n">
        <v>45838.63467592592</v>
      </c>
      <c r="C692" s="1" t="n">
        <v>46135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29595-2024</t>
        </is>
      </c>
      <c r="B693" s="1" t="n">
        <v>45484.58876157407</v>
      </c>
      <c r="C693" s="1" t="n">
        <v>46135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6928-2024</t>
        </is>
      </c>
      <c r="B694" s="1" t="n">
        <v>45343</v>
      </c>
      <c r="C694" s="1" t="n">
        <v>46135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32508-2025</t>
        </is>
      </c>
      <c r="B695" s="1" t="n">
        <v>45838.47222222222</v>
      </c>
      <c r="C695" s="1" t="n">
        <v>46135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4572-2026</t>
        </is>
      </c>
      <c r="B696" s="1" t="n">
        <v>46048.30815972222</v>
      </c>
      <c r="C696" s="1" t="n">
        <v>46135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32612-2025</t>
        </is>
      </c>
      <c r="B697" s="1" t="n">
        <v>45838.63969907408</v>
      </c>
      <c r="C697" s="1" t="n">
        <v>46135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4838-2026</t>
        </is>
      </c>
      <c r="B698" s="1" t="n">
        <v>46048.6132175926</v>
      </c>
      <c r="C698" s="1" t="n">
        <v>46135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32526-2025</t>
        </is>
      </c>
      <c r="B699" s="1" t="n">
        <v>45838.48921296297</v>
      </c>
      <c r="C699" s="1" t="n">
        <v>46135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25651-2023</t>
        </is>
      </c>
      <c r="B700" s="1" t="n">
        <v>45089</v>
      </c>
      <c r="C700" s="1" t="n">
        <v>46135</v>
      </c>
      <c r="D700" t="inlineStr">
        <is>
          <t>VÄSTRA GÖTALANDS LÄN</t>
        </is>
      </c>
      <c r="E700" t="inlineStr">
        <is>
          <t>ULRICEHAMN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32602-2025</t>
        </is>
      </c>
      <c r="B701" s="1" t="n">
        <v>45838.62430555555</v>
      </c>
      <c r="C701" s="1" t="n">
        <v>46135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32621-2025</t>
        </is>
      </c>
      <c r="B702" s="1" t="n">
        <v>45838.64636574074</v>
      </c>
      <c r="C702" s="1" t="n">
        <v>46135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4793-2026</t>
        </is>
      </c>
      <c r="B703" s="1" t="n">
        <v>46048.5657175926</v>
      </c>
      <c r="C703" s="1" t="n">
        <v>46135</v>
      </c>
      <c r="D703" t="inlineStr">
        <is>
          <t>VÄSTRA GÖTALANDS LÄN</t>
        </is>
      </c>
      <c r="E703" t="inlineStr">
        <is>
          <t>ULRICEHAMN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32461-2025</t>
        </is>
      </c>
      <c r="B704" s="1" t="n">
        <v>45838.41554398148</v>
      </c>
      <c r="C704" s="1" t="n">
        <v>46135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12149-2022</t>
        </is>
      </c>
      <c r="B705" s="1" t="n">
        <v>44636</v>
      </c>
      <c r="C705" s="1" t="n">
        <v>46135</v>
      </c>
      <c r="D705" t="inlineStr">
        <is>
          <t>VÄSTRA GÖTALANDS LÄN</t>
        </is>
      </c>
      <c r="E705" t="inlineStr">
        <is>
          <t>ULRICEHAMN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32532-2025</t>
        </is>
      </c>
      <c r="B706" s="1" t="n">
        <v>45838.49251157408</v>
      </c>
      <c r="C706" s="1" t="n">
        <v>46135</v>
      </c>
      <c r="D706" t="inlineStr">
        <is>
          <t>VÄSTRA GÖTALANDS LÄN</t>
        </is>
      </c>
      <c r="E706" t="inlineStr">
        <is>
          <t>ULRICEHAMN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32597-2025</t>
        </is>
      </c>
      <c r="B707" s="1" t="n">
        <v>45838.61827546296</v>
      </c>
      <c r="C707" s="1" t="n">
        <v>46135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32512-2025</t>
        </is>
      </c>
      <c r="B708" s="1" t="n">
        <v>45838.47398148148</v>
      </c>
      <c r="C708" s="1" t="n">
        <v>46135</v>
      </c>
      <c r="D708" t="inlineStr">
        <is>
          <t>VÄSTRA GÖTALANDS LÄN</t>
        </is>
      </c>
      <c r="E708" t="inlineStr">
        <is>
          <t>ULRICEHAMN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33618-2025</t>
        </is>
      </c>
      <c r="B709" s="1" t="n">
        <v>45841</v>
      </c>
      <c r="C709" s="1" t="n">
        <v>46135</v>
      </c>
      <c r="D709" t="inlineStr">
        <is>
          <t>VÄSTRA GÖTALANDS LÄN</t>
        </is>
      </c>
      <c r="E709" t="inlineStr">
        <is>
          <t>ULRICEHAMN</t>
        </is>
      </c>
      <c r="G709" t="n">
        <v>16.7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33658-2025</t>
        </is>
      </c>
      <c r="B710" s="1" t="n">
        <v>45841</v>
      </c>
      <c r="C710" s="1" t="n">
        <v>46135</v>
      </c>
      <c r="D710" t="inlineStr">
        <is>
          <t>VÄSTRA GÖTALANDS LÄN</t>
        </is>
      </c>
      <c r="E710" t="inlineStr">
        <is>
          <t>ULRICEHAMN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43873-2023</t>
        </is>
      </c>
      <c r="B711" s="1" t="n">
        <v>45187</v>
      </c>
      <c r="C711" s="1" t="n">
        <v>46135</v>
      </c>
      <c r="D711" t="inlineStr">
        <is>
          <t>VÄSTRA GÖTALANDS LÄN</t>
        </is>
      </c>
      <c r="E711" t="inlineStr">
        <is>
          <t>ULRICEHAMN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56775-2023</t>
        </is>
      </c>
      <c r="B712" s="1" t="n">
        <v>45244.41496527778</v>
      </c>
      <c r="C712" s="1" t="n">
        <v>46135</v>
      </c>
      <c r="D712" t="inlineStr">
        <is>
          <t>VÄSTRA GÖTALANDS LÄN</t>
        </is>
      </c>
      <c r="E712" t="inlineStr">
        <is>
          <t>ULRICEHAMN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53012-2024</t>
        </is>
      </c>
      <c r="B713" s="1" t="n">
        <v>45611.40252314815</v>
      </c>
      <c r="C713" s="1" t="n">
        <v>46135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33644-2025</t>
        </is>
      </c>
      <c r="B714" s="1" t="n">
        <v>45841</v>
      </c>
      <c r="C714" s="1" t="n">
        <v>46135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60989-2024</t>
        </is>
      </c>
      <c r="B715" s="1" t="n">
        <v>45645.4187037037</v>
      </c>
      <c r="C715" s="1" t="n">
        <v>46135</v>
      </c>
      <c r="D715" t="inlineStr">
        <is>
          <t>VÄSTRA GÖTALANDS LÄN</t>
        </is>
      </c>
      <c r="E715" t="inlineStr">
        <is>
          <t>ULRICEHAMN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9751-2024</t>
        </is>
      </c>
      <c r="B716" s="1" t="n">
        <v>45362.61083333333</v>
      </c>
      <c r="C716" s="1" t="n">
        <v>46135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6832-2025</t>
        </is>
      </c>
      <c r="B717" s="1" t="n">
        <v>45700.75613425926</v>
      </c>
      <c r="C717" s="1" t="n">
        <v>46135</v>
      </c>
      <c r="D717" t="inlineStr">
        <is>
          <t>VÄSTRA GÖTALANDS LÄN</t>
        </is>
      </c>
      <c r="E717" t="inlineStr">
        <is>
          <t>ULRICEHAMN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18573-2023</t>
        </is>
      </c>
      <c r="B718" s="1" t="n">
        <v>45043</v>
      </c>
      <c r="C718" s="1" t="n">
        <v>46135</v>
      </c>
      <c r="D718" t="inlineStr">
        <is>
          <t>VÄSTRA GÖTALANDS LÄN</t>
        </is>
      </c>
      <c r="E718" t="inlineStr">
        <is>
          <t>ULRICEHAMN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57173-2023</t>
        </is>
      </c>
      <c r="B719" s="1" t="n">
        <v>45245.45607638889</v>
      </c>
      <c r="C719" s="1" t="n">
        <v>46135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33631-2025</t>
        </is>
      </c>
      <c r="B720" s="1" t="n">
        <v>45841</v>
      </c>
      <c r="C720" s="1" t="n">
        <v>46135</v>
      </c>
      <c r="D720" t="inlineStr">
        <is>
          <t>VÄSTRA GÖTALANDS LÄN</t>
        </is>
      </c>
      <c r="E720" t="inlineStr">
        <is>
          <t>ULRICEHAMN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56717-2023</t>
        </is>
      </c>
      <c r="B721" s="1" t="n">
        <v>45244</v>
      </c>
      <c r="C721" s="1" t="n">
        <v>46135</v>
      </c>
      <c r="D721" t="inlineStr">
        <is>
          <t>VÄSTRA GÖTALANDS LÄN</t>
        </is>
      </c>
      <c r="E721" t="inlineStr">
        <is>
          <t>ULRICEHAMN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38730-2024</t>
        </is>
      </c>
      <c r="B722" s="1" t="n">
        <v>45547.40618055555</v>
      </c>
      <c r="C722" s="1" t="n">
        <v>46135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38733-2024</t>
        </is>
      </c>
      <c r="B723" s="1" t="n">
        <v>45547.41038194444</v>
      </c>
      <c r="C723" s="1" t="n">
        <v>46135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38734-2024</t>
        </is>
      </c>
      <c r="B724" s="1" t="n">
        <v>45547.41177083334</v>
      </c>
      <c r="C724" s="1" t="n">
        <v>46135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23856-2023</t>
        </is>
      </c>
      <c r="B725" s="1" t="n">
        <v>45075</v>
      </c>
      <c r="C725" s="1" t="n">
        <v>46135</v>
      </c>
      <c r="D725" t="inlineStr">
        <is>
          <t>VÄSTRA GÖTALANDS LÄN</t>
        </is>
      </c>
      <c r="E725" t="inlineStr">
        <is>
          <t>ULRICEHAMN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2946-2023</t>
        </is>
      </c>
      <c r="B726" s="1" t="n">
        <v>44945.61759259259</v>
      </c>
      <c r="C726" s="1" t="n">
        <v>46135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17236-2023</t>
        </is>
      </c>
      <c r="B727" s="1" t="n">
        <v>45035</v>
      </c>
      <c r="C727" s="1" t="n">
        <v>46135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34232-2025</t>
        </is>
      </c>
      <c r="B728" s="1" t="n">
        <v>45845.65972222222</v>
      </c>
      <c r="C728" s="1" t="n">
        <v>46135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34234-2025</t>
        </is>
      </c>
      <c r="B729" s="1" t="n">
        <v>45845.66188657407</v>
      </c>
      <c r="C729" s="1" t="n">
        <v>46135</v>
      </c>
      <c r="D729" t="inlineStr">
        <is>
          <t>VÄSTRA GÖTALANDS LÄN</t>
        </is>
      </c>
      <c r="E729" t="inlineStr">
        <is>
          <t>ULRICEHAMN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17584-2025</t>
        </is>
      </c>
      <c r="B730" s="1" t="n">
        <v>45757.6719212963</v>
      </c>
      <c r="C730" s="1" t="n">
        <v>46135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6193-2026</t>
        </is>
      </c>
      <c r="B731" s="1" t="n">
        <v>46055.38987268518</v>
      </c>
      <c r="C731" s="1" t="n">
        <v>46135</v>
      </c>
      <c r="D731" t="inlineStr">
        <is>
          <t>VÄSTRA GÖTALANDS LÄN</t>
        </is>
      </c>
      <c r="E731" t="inlineStr">
        <is>
          <t>ULRICEHAMN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26248-2023</t>
        </is>
      </c>
      <c r="B732" s="1" t="n">
        <v>45091</v>
      </c>
      <c r="C732" s="1" t="n">
        <v>46135</v>
      </c>
      <c r="D732" t="inlineStr">
        <is>
          <t>VÄSTRA GÖTALANDS LÄN</t>
        </is>
      </c>
      <c r="E732" t="inlineStr">
        <is>
          <t>ULRICEHAMN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3441-2024</t>
        </is>
      </c>
      <c r="B733" s="1" t="n">
        <v>45320</v>
      </c>
      <c r="C733" s="1" t="n">
        <v>46135</v>
      </c>
      <c r="D733" t="inlineStr">
        <is>
          <t>VÄSTRA GÖTALANDS LÄN</t>
        </is>
      </c>
      <c r="E733" t="inlineStr">
        <is>
          <t>ULRICEHAMN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45528-2024</t>
        </is>
      </c>
      <c r="B734" s="1" t="n">
        <v>45579.27511574074</v>
      </c>
      <c r="C734" s="1" t="n">
        <v>46135</v>
      </c>
      <c r="D734" t="inlineStr">
        <is>
          <t>VÄSTRA GÖTALANDS LÄN</t>
        </is>
      </c>
      <c r="E734" t="inlineStr">
        <is>
          <t>ULRICEHAMN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34251-2025</t>
        </is>
      </c>
      <c r="B735" s="1" t="n">
        <v>45845.68589120371</v>
      </c>
      <c r="C735" s="1" t="n">
        <v>46135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33892-2023</t>
        </is>
      </c>
      <c r="B736" s="1" t="n">
        <v>45134.34258101852</v>
      </c>
      <c r="C736" s="1" t="n">
        <v>46135</v>
      </c>
      <c r="D736" t="inlineStr">
        <is>
          <t>VÄSTRA GÖTALANDS LÄN</t>
        </is>
      </c>
      <c r="E736" t="inlineStr">
        <is>
          <t>ULRICEHAMN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33830-2025</t>
        </is>
      </c>
      <c r="B737" s="1" t="n">
        <v>45842</v>
      </c>
      <c r="C737" s="1" t="n">
        <v>46135</v>
      </c>
      <c r="D737" t="inlineStr">
        <is>
          <t>VÄSTRA GÖTALANDS LÄN</t>
        </is>
      </c>
      <c r="E737" t="inlineStr">
        <is>
          <t>ULRICEHAMN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33731-2025</t>
        </is>
      </c>
      <c r="B738" s="1" t="n">
        <v>45842</v>
      </c>
      <c r="C738" s="1" t="n">
        <v>46135</v>
      </c>
      <c r="D738" t="inlineStr">
        <is>
          <t>VÄSTRA GÖTALANDS LÄN</t>
        </is>
      </c>
      <c r="E738" t="inlineStr">
        <is>
          <t>ULRICEHAMN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34282-2025</t>
        </is>
      </c>
      <c r="B739" s="1" t="n">
        <v>45846.31435185186</v>
      </c>
      <c r="C739" s="1" t="n">
        <v>46135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33844-2025</t>
        </is>
      </c>
      <c r="B740" s="1" t="n">
        <v>45842</v>
      </c>
      <c r="C740" s="1" t="n">
        <v>46135</v>
      </c>
      <c r="D740" t="inlineStr">
        <is>
          <t>VÄSTRA GÖTALANDS LÄN</t>
        </is>
      </c>
      <c r="E740" t="inlineStr">
        <is>
          <t>ULRICEHAMN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21918-2025</t>
        </is>
      </c>
      <c r="B741" s="1" t="n">
        <v>45784.50868055555</v>
      </c>
      <c r="C741" s="1" t="n">
        <v>46135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60562-2022</t>
        </is>
      </c>
      <c r="B742" s="1" t="n">
        <v>44911.55048611111</v>
      </c>
      <c r="C742" s="1" t="n">
        <v>46135</v>
      </c>
      <c r="D742" t="inlineStr">
        <is>
          <t>VÄSTRA GÖTALANDS LÄN</t>
        </is>
      </c>
      <c r="E742" t="inlineStr">
        <is>
          <t>ULRICEHAMN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59885-2022</t>
        </is>
      </c>
      <c r="B743" s="1" t="n">
        <v>44908.70862268518</v>
      </c>
      <c r="C743" s="1" t="n">
        <v>46135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38539-2023</t>
        </is>
      </c>
      <c r="B744" s="1" t="n">
        <v>45162.58184027778</v>
      </c>
      <c r="C744" s="1" t="n">
        <v>46135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28893-2023</t>
        </is>
      </c>
      <c r="B745" s="1" t="n">
        <v>45104</v>
      </c>
      <c r="C745" s="1" t="n">
        <v>46135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397-2025</t>
        </is>
      </c>
      <c r="B746" s="1" t="n">
        <v>45663</v>
      </c>
      <c r="C746" s="1" t="n">
        <v>46135</v>
      </c>
      <c r="D746" t="inlineStr">
        <is>
          <t>VÄSTRA GÖTALANDS LÄN</t>
        </is>
      </c>
      <c r="E746" t="inlineStr">
        <is>
          <t>ULRICEHAMN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5137-2025</t>
        </is>
      </c>
      <c r="B747" s="1" t="n">
        <v>45691.5816550926</v>
      </c>
      <c r="C747" s="1" t="n">
        <v>46135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57175-2024</t>
        </is>
      </c>
      <c r="B748" s="1" t="n">
        <v>45629.43756944445</v>
      </c>
      <c r="C748" s="1" t="n">
        <v>46135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50062-2024</t>
        </is>
      </c>
      <c r="B749" s="1" t="n">
        <v>45600.34857638889</v>
      </c>
      <c r="C749" s="1" t="n">
        <v>46135</v>
      </c>
      <c r="D749" t="inlineStr">
        <is>
          <t>VÄSTRA GÖTALANDS LÄN</t>
        </is>
      </c>
      <c r="E749" t="inlineStr">
        <is>
          <t>ULRICEHAMN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35545-2025</t>
        </is>
      </c>
      <c r="B750" s="1" t="n">
        <v>45856.47969907407</v>
      </c>
      <c r="C750" s="1" t="n">
        <v>46135</v>
      </c>
      <c r="D750" t="inlineStr">
        <is>
          <t>VÄSTRA GÖTALANDS LÄN</t>
        </is>
      </c>
      <c r="E750" t="inlineStr">
        <is>
          <t>ULRICEHAMN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35546-2025</t>
        </is>
      </c>
      <c r="B751" s="1" t="n">
        <v>45856.48460648148</v>
      </c>
      <c r="C751" s="1" t="n">
        <v>46135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40988-2023</t>
        </is>
      </c>
      <c r="B752" s="1" t="n">
        <v>45173.51109953703</v>
      </c>
      <c r="C752" s="1" t="n">
        <v>46135</v>
      </c>
      <c r="D752" t="inlineStr">
        <is>
          <t>VÄSTRA GÖTALANDS LÄN</t>
        </is>
      </c>
      <c r="E752" t="inlineStr">
        <is>
          <t>ULRICEHAMN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42769-2024</t>
        </is>
      </c>
      <c r="B753" s="1" t="n">
        <v>45566.51096064815</v>
      </c>
      <c r="C753" s="1" t="n">
        <v>46135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Sveaskog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60986-2023</t>
        </is>
      </c>
      <c r="B754" s="1" t="n">
        <v>45261.48627314815</v>
      </c>
      <c r="C754" s="1" t="n">
        <v>46135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30954-2022</t>
        </is>
      </c>
      <c r="B755" s="1" t="n">
        <v>44768</v>
      </c>
      <c r="C755" s="1" t="n">
        <v>46135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35857-2025</t>
        </is>
      </c>
      <c r="B756" s="1" t="n">
        <v>45861.62144675926</v>
      </c>
      <c r="C756" s="1" t="n">
        <v>46135</v>
      </c>
      <c r="D756" t="inlineStr">
        <is>
          <t>VÄSTRA GÖTALANDS LÄN</t>
        </is>
      </c>
      <c r="E756" t="inlineStr">
        <is>
          <t>ULRICEHAMN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16745-2024</t>
        </is>
      </c>
      <c r="B757" s="1" t="n">
        <v>45411.21890046296</v>
      </c>
      <c r="C757" s="1" t="n">
        <v>46135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16746-2024</t>
        </is>
      </c>
      <c r="B758" s="1" t="n">
        <v>45411.22457175926</v>
      </c>
      <c r="C758" s="1" t="n">
        <v>46135</v>
      </c>
      <c r="D758" t="inlineStr">
        <is>
          <t>VÄSTRA GÖTALANDS LÄN</t>
        </is>
      </c>
      <c r="E758" t="inlineStr">
        <is>
          <t>ULRICEHAMN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14817-2022</t>
        </is>
      </c>
      <c r="B759" s="1" t="n">
        <v>44656.50299768519</v>
      </c>
      <c r="C759" s="1" t="n">
        <v>46135</v>
      </c>
      <c r="D759" t="inlineStr">
        <is>
          <t>VÄSTRA GÖTALANDS LÄN</t>
        </is>
      </c>
      <c r="E759" t="inlineStr">
        <is>
          <t>ULRICEHAMN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35893-2025</t>
        </is>
      </c>
      <c r="B760" s="1" t="n">
        <v>45862.48081018519</v>
      </c>
      <c r="C760" s="1" t="n">
        <v>46135</v>
      </c>
      <c r="D760" t="inlineStr">
        <is>
          <t>VÄSTRA GÖTALANDS LÄN</t>
        </is>
      </c>
      <c r="E760" t="inlineStr">
        <is>
          <t>ULRICEHAMN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35871-2025</t>
        </is>
      </c>
      <c r="B761" s="1" t="n">
        <v>45862.31365740741</v>
      </c>
      <c r="C761" s="1" t="n">
        <v>46135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35895-2025</t>
        </is>
      </c>
      <c r="B762" s="1" t="n">
        <v>45862.48412037037</v>
      </c>
      <c r="C762" s="1" t="n">
        <v>46135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35872-2025</t>
        </is>
      </c>
      <c r="B763" s="1" t="n">
        <v>45862.33578703704</v>
      </c>
      <c r="C763" s="1" t="n">
        <v>46135</v>
      </c>
      <c r="D763" t="inlineStr">
        <is>
          <t>VÄSTRA GÖTALANDS LÄN</t>
        </is>
      </c>
      <c r="E763" t="inlineStr">
        <is>
          <t>ULRICEHAMN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36067-2025</t>
        </is>
      </c>
      <c r="B764" s="1" t="n">
        <v>45866</v>
      </c>
      <c r="C764" s="1" t="n">
        <v>46135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53965-2022</t>
        </is>
      </c>
      <c r="B765" s="1" t="n">
        <v>44881.31358796296</v>
      </c>
      <c r="C765" s="1" t="n">
        <v>46135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56793-2023</t>
        </is>
      </c>
      <c r="B766" s="1" t="n">
        <v>45244.42677083334</v>
      </c>
      <c r="C766" s="1" t="n">
        <v>46135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36080-2025</t>
        </is>
      </c>
      <c r="B767" s="1" t="n">
        <v>45866.45084490741</v>
      </c>
      <c r="C767" s="1" t="n">
        <v>46135</v>
      </c>
      <c r="D767" t="inlineStr">
        <is>
          <t>VÄSTRA GÖTALANDS LÄN</t>
        </is>
      </c>
      <c r="E767" t="inlineStr">
        <is>
          <t>ULRICEHAMN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30585-2022</t>
        </is>
      </c>
      <c r="B768" s="1" t="n">
        <v>44762</v>
      </c>
      <c r="C768" s="1" t="n">
        <v>46135</v>
      </c>
      <c r="D768" t="inlineStr">
        <is>
          <t>VÄSTRA GÖTALANDS LÄN</t>
        </is>
      </c>
      <c r="E768" t="inlineStr">
        <is>
          <t>ULRICEHAMN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38639-2023</t>
        </is>
      </c>
      <c r="B769" s="1" t="n">
        <v>45162</v>
      </c>
      <c r="C769" s="1" t="n">
        <v>46135</v>
      </c>
      <c r="D769" t="inlineStr">
        <is>
          <t>VÄSTRA GÖTALANDS LÄN</t>
        </is>
      </c>
      <c r="E769" t="inlineStr">
        <is>
          <t>ULRICEHAMN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7364-2025</t>
        </is>
      </c>
      <c r="B770" s="1" t="n">
        <v>45704</v>
      </c>
      <c r="C770" s="1" t="n">
        <v>46135</v>
      </c>
      <c r="D770" t="inlineStr">
        <is>
          <t>VÄSTRA GÖTALANDS LÄN</t>
        </is>
      </c>
      <c r="E770" t="inlineStr">
        <is>
          <t>ULRICEHAMN</t>
        </is>
      </c>
      <c r="G770" t="n">
        <v>12.5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36305-2025</t>
        </is>
      </c>
      <c r="B771" s="1" t="n">
        <v>45868.00584490741</v>
      </c>
      <c r="C771" s="1" t="n">
        <v>46135</v>
      </c>
      <c r="D771" t="inlineStr">
        <is>
          <t>VÄSTRA GÖTALANDS LÄN</t>
        </is>
      </c>
      <c r="E771" t="inlineStr">
        <is>
          <t>ULRICEHAMN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36384-2025</t>
        </is>
      </c>
      <c r="B772" s="1" t="n">
        <v>45868.5902199074</v>
      </c>
      <c r="C772" s="1" t="n">
        <v>46135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28881-2023</t>
        </is>
      </c>
      <c r="B773" s="1" t="n">
        <v>45104</v>
      </c>
      <c r="C773" s="1" t="n">
        <v>46135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36306-2025</t>
        </is>
      </c>
      <c r="B774" s="1" t="n">
        <v>45868.00769675926</v>
      </c>
      <c r="C774" s="1" t="n">
        <v>46135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36591-2025</t>
        </is>
      </c>
      <c r="B775" s="1" t="n">
        <v>45870.49383101852</v>
      </c>
      <c r="C775" s="1" t="n">
        <v>46135</v>
      </c>
      <c r="D775" t="inlineStr">
        <is>
          <t>VÄSTRA GÖTALANDS LÄN</t>
        </is>
      </c>
      <c r="E775" t="inlineStr">
        <is>
          <t>ULRICEHAMN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64998-2021</t>
        </is>
      </c>
      <c r="B776" s="1" t="n">
        <v>44514</v>
      </c>
      <c r="C776" s="1" t="n">
        <v>46135</v>
      </c>
      <c r="D776" t="inlineStr">
        <is>
          <t>VÄSTRA GÖTALANDS LÄN</t>
        </is>
      </c>
      <c r="E776" t="inlineStr">
        <is>
          <t>ULRICEHAMN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47724-2023</t>
        </is>
      </c>
      <c r="B777" s="1" t="n">
        <v>45203</v>
      </c>
      <c r="C777" s="1" t="n">
        <v>46135</v>
      </c>
      <c r="D777" t="inlineStr">
        <is>
          <t>VÄSTRA GÖTALANDS LÄN</t>
        </is>
      </c>
      <c r="E777" t="inlineStr">
        <is>
          <t>ULRICEHAMN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55267-2023</t>
        </is>
      </c>
      <c r="B778" s="1" t="n">
        <v>45237</v>
      </c>
      <c r="C778" s="1" t="n">
        <v>46135</v>
      </c>
      <c r="D778" t="inlineStr">
        <is>
          <t>VÄSTRA GÖTALANDS LÄN</t>
        </is>
      </c>
      <c r="E778" t="inlineStr">
        <is>
          <t>ULRICEHAMN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2907-2025</t>
        </is>
      </c>
      <c r="B779" s="1" t="n">
        <v>45677.81309027778</v>
      </c>
      <c r="C779" s="1" t="n">
        <v>46135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25340-2023</t>
        </is>
      </c>
      <c r="B780" s="1" t="n">
        <v>45087</v>
      </c>
      <c r="C780" s="1" t="n">
        <v>46135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60084-2023</t>
        </is>
      </c>
      <c r="B781" s="1" t="n">
        <v>45258</v>
      </c>
      <c r="C781" s="1" t="n">
        <v>46135</v>
      </c>
      <c r="D781" t="inlineStr">
        <is>
          <t>VÄSTRA GÖTALANDS LÄN</t>
        </is>
      </c>
      <c r="E781" t="inlineStr">
        <is>
          <t>ULRICEHAMN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45523-2024</t>
        </is>
      </c>
      <c r="B782" s="1" t="n">
        <v>45578.7541087963</v>
      </c>
      <c r="C782" s="1" t="n">
        <v>46135</v>
      </c>
      <c r="D782" t="inlineStr">
        <is>
          <t>VÄSTRA GÖTALANDS LÄN</t>
        </is>
      </c>
      <c r="E782" t="inlineStr">
        <is>
          <t>ULRICEHAMN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45526-2024</t>
        </is>
      </c>
      <c r="B783" s="1" t="n">
        <v>45578.95694444444</v>
      </c>
      <c r="C783" s="1" t="n">
        <v>46135</v>
      </c>
      <c r="D783" t="inlineStr">
        <is>
          <t>VÄSTRA GÖTALANDS LÄN</t>
        </is>
      </c>
      <c r="E783" t="inlineStr">
        <is>
          <t>ULRICEHAMN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16624-2025</t>
        </is>
      </c>
      <c r="B784" s="1" t="n">
        <v>45754.34409722222</v>
      </c>
      <c r="C784" s="1" t="n">
        <v>46135</v>
      </c>
      <c r="D784" t="inlineStr">
        <is>
          <t>VÄSTRA GÖTALANDS LÄN</t>
        </is>
      </c>
      <c r="E784" t="inlineStr">
        <is>
          <t>ULRICEHAMN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17507-2024</t>
        </is>
      </c>
      <c r="B785" s="1" t="n">
        <v>45415.56604166667</v>
      </c>
      <c r="C785" s="1" t="n">
        <v>46135</v>
      </c>
      <c r="D785" t="inlineStr">
        <is>
          <t>VÄSTRA GÖTALANDS LÄN</t>
        </is>
      </c>
      <c r="E785" t="inlineStr">
        <is>
          <t>ULRICEHAMN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8608-2025</t>
        </is>
      </c>
      <c r="B786" s="1" t="n">
        <v>45710.39645833334</v>
      </c>
      <c r="C786" s="1" t="n">
        <v>46135</v>
      </c>
      <c r="D786" t="inlineStr">
        <is>
          <t>VÄSTRA GÖTALANDS LÄN</t>
        </is>
      </c>
      <c r="E786" t="inlineStr">
        <is>
          <t>ULRICEHAMN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7212-2024</t>
        </is>
      </c>
      <c r="B787" s="1" t="n">
        <v>45344.62459490741</v>
      </c>
      <c r="C787" s="1" t="n">
        <v>46135</v>
      </c>
      <c r="D787" t="inlineStr">
        <is>
          <t>VÄSTRA GÖTALANDS LÄN</t>
        </is>
      </c>
      <c r="E787" t="inlineStr">
        <is>
          <t>ULRICEHAMN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17306-2022</t>
        </is>
      </c>
      <c r="B788" s="1" t="n">
        <v>44678</v>
      </c>
      <c r="C788" s="1" t="n">
        <v>46135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60277-2023</t>
        </is>
      </c>
      <c r="B789" s="1" t="n">
        <v>45258.68091435185</v>
      </c>
      <c r="C789" s="1" t="n">
        <v>46135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29598-2024</t>
        </is>
      </c>
      <c r="B790" s="1" t="n">
        <v>45484.59119212963</v>
      </c>
      <c r="C790" s="1" t="n">
        <v>46135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27390-2024</t>
        </is>
      </c>
      <c r="B791" s="1" t="n">
        <v>45474.31899305555</v>
      </c>
      <c r="C791" s="1" t="n">
        <v>46135</v>
      </c>
      <c r="D791" t="inlineStr">
        <is>
          <t>VÄSTRA GÖTALANDS LÄN</t>
        </is>
      </c>
      <c r="E791" t="inlineStr">
        <is>
          <t>ULRICEHAMN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25164-2023</t>
        </is>
      </c>
      <c r="B792" s="1" t="n">
        <v>45086.51556712963</v>
      </c>
      <c r="C792" s="1" t="n">
        <v>46135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2693-2023</t>
        </is>
      </c>
      <c r="B793" s="1" t="n">
        <v>44944.47947916666</v>
      </c>
      <c r="C793" s="1" t="n">
        <v>46135</v>
      </c>
      <c r="D793" t="inlineStr">
        <is>
          <t>VÄSTRA GÖTALANDS LÄN</t>
        </is>
      </c>
      <c r="E793" t="inlineStr">
        <is>
          <t>ULRICEHAMN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14039-2023</t>
        </is>
      </c>
      <c r="B794" s="1" t="n">
        <v>45008</v>
      </c>
      <c r="C794" s="1" t="n">
        <v>46135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36693-2023</t>
        </is>
      </c>
      <c r="B795" s="1" t="n">
        <v>45153.62331018518</v>
      </c>
      <c r="C795" s="1" t="n">
        <v>46135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51635-2024</t>
        </is>
      </c>
      <c r="B796" s="1" t="n">
        <v>45605.63666666667</v>
      </c>
      <c r="C796" s="1" t="n">
        <v>46135</v>
      </c>
      <c r="D796" t="inlineStr">
        <is>
          <t>VÄSTRA GÖTALANDS LÄN</t>
        </is>
      </c>
      <c r="E796" t="inlineStr">
        <is>
          <t>ULRICEHAMN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51639-2024</t>
        </is>
      </c>
      <c r="B797" s="1" t="n">
        <v>45605.73070601852</v>
      </c>
      <c r="C797" s="1" t="n">
        <v>46135</v>
      </c>
      <c r="D797" t="inlineStr">
        <is>
          <t>VÄSTRA GÖTALANDS LÄN</t>
        </is>
      </c>
      <c r="E797" t="inlineStr">
        <is>
          <t>ULRICEHAMN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55160-2023</t>
        </is>
      </c>
      <c r="B798" s="1" t="n">
        <v>45237</v>
      </c>
      <c r="C798" s="1" t="n">
        <v>46135</v>
      </c>
      <c r="D798" t="inlineStr">
        <is>
          <t>VÄSTRA GÖTALANDS LÄN</t>
        </is>
      </c>
      <c r="E798" t="inlineStr">
        <is>
          <t>ULRICEHAMN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13512-2023</t>
        </is>
      </c>
      <c r="B799" s="1" t="n">
        <v>45006.30878472222</v>
      </c>
      <c r="C799" s="1" t="n">
        <v>46135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7382-2023</t>
        </is>
      </c>
      <c r="B800" s="1" t="n">
        <v>44971.45362268519</v>
      </c>
      <c r="C800" s="1" t="n">
        <v>46135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19864-2025</t>
        </is>
      </c>
      <c r="B801" s="1" t="n">
        <v>45771</v>
      </c>
      <c r="C801" s="1" t="n">
        <v>46135</v>
      </c>
      <c r="D801" t="inlineStr">
        <is>
          <t>VÄSTRA GÖTALANDS LÄN</t>
        </is>
      </c>
      <c r="E801" t="inlineStr">
        <is>
          <t>ULRICEHAMN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32156-2022</t>
        </is>
      </c>
      <c r="B802" s="1" t="n">
        <v>44781.323125</v>
      </c>
      <c r="C802" s="1" t="n">
        <v>46135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11648-2025</t>
        </is>
      </c>
      <c r="B803" s="1" t="n">
        <v>45727.47711805555</v>
      </c>
      <c r="C803" s="1" t="n">
        <v>46135</v>
      </c>
      <c r="D803" t="inlineStr">
        <is>
          <t>VÄSTRA GÖTALANDS LÄN</t>
        </is>
      </c>
      <c r="E803" t="inlineStr">
        <is>
          <t>ULRICEHAMN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56671-2024</t>
        </is>
      </c>
      <c r="B804" s="1" t="n">
        <v>45626.6325</v>
      </c>
      <c r="C804" s="1" t="n">
        <v>46135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56674-2024</t>
        </is>
      </c>
      <c r="B805" s="1" t="n">
        <v>45626.77259259259</v>
      </c>
      <c r="C805" s="1" t="n">
        <v>46135</v>
      </c>
      <c r="D805" t="inlineStr">
        <is>
          <t>VÄSTRA GÖTALANDS LÄN</t>
        </is>
      </c>
      <c r="E805" t="inlineStr">
        <is>
          <t>ULRICEHAMN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949-2025</t>
        </is>
      </c>
      <c r="B806" s="1" t="n">
        <v>45666.35835648148</v>
      </c>
      <c r="C806" s="1" t="n">
        <v>46135</v>
      </c>
      <c r="D806" t="inlineStr">
        <is>
          <t>VÄSTRA GÖTALANDS LÄN</t>
        </is>
      </c>
      <c r="E806" t="inlineStr">
        <is>
          <t>ULRICEHAMN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54904-2023</t>
        </is>
      </c>
      <c r="B807" s="1" t="n">
        <v>45236</v>
      </c>
      <c r="C807" s="1" t="n">
        <v>46135</v>
      </c>
      <c r="D807" t="inlineStr">
        <is>
          <t>VÄSTRA GÖTALANDS LÄN</t>
        </is>
      </c>
      <c r="E807" t="inlineStr">
        <is>
          <t>ULRICEHAMN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54912-2023</t>
        </is>
      </c>
      <c r="B808" s="1" t="n">
        <v>45236</v>
      </c>
      <c r="C808" s="1" t="n">
        <v>46135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45478-2023</t>
        </is>
      </c>
      <c r="B809" s="1" t="n">
        <v>45194.44383101852</v>
      </c>
      <c r="C809" s="1" t="n">
        <v>46135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34771-2023</t>
        </is>
      </c>
      <c r="B810" s="1" t="n">
        <v>45140</v>
      </c>
      <c r="C810" s="1" t="n">
        <v>46135</v>
      </c>
      <c r="D810" t="inlineStr">
        <is>
          <t>VÄSTRA GÖTALANDS LÄN</t>
        </is>
      </c>
      <c r="E810" t="inlineStr">
        <is>
          <t>ULRICEHAMN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34773-2023</t>
        </is>
      </c>
      <c r="B811" s="1" t="n">
        <v>45140</v>
      </c>
      <c r="C811" s="1" t="n">
        <v>46135</v>
      </c>
      <c r="D811" t="inlineStr">
        <is>
          <t>VÄSTRA GÖTALANDS LÄN</t>
        </is>
      </c>
      <c r="E811" t="inlineStr">
        <is>
          <t>ULRICEHAMN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51723-2024</t>
        </is>
      </c>
      <c r="B812" s="1" t="n">
        <v>45607.38168981481</v>
      </c>
      <c r="C812" s="1" t="n">
        <v>46135</v>
      </c>
      <c r="D812" t="inlineStr">
        <is>
          <t>VÄSTRA GÖTALANDS LÄN</t>
        </is>
      </c>
      <c r="E812" t="inlineStr">
        <is>
          <t>ULRICEHAMN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37358-2022</t>
        </is>
      </c>
      <c r="B813" s="1" t="n">
        <v>44809.38440972222</v>
      </c>
      <c r="C813" s="1" t="n">
        <v>46135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64733-2023</t>
        </is>
      </c>
      <c r="B814" s="1" t="n">
        <v>45281.81950231481</v>
      </c>
      <c r="C814" s="1" t="n">
        <v>46135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59069-2024</t>
        </is>
      </c>
      <c r="B815" s="1" t="n">
        <v>45636.95501157407</v>
      </c>
      <c r="C815" s="1" t="n">
        <v>46135</v>
      </c>
      <c r="D815" t="inlineStr">
        <is>
          <t>VÄSTRA GÖTALANDS LÄN</t>
        </is>
      </c>
      <c r="E815" t="inlineStr">
        <is>
          <t>ULRICEHAMN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44463-2023</t>
        </is>
      </c>
      <c r="B816" s="1" t="n">
        <v>45189</v>
      </c>
      <c r="C816" s="1" t="n">
        <v>46135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38446-2024</t>
        </is>
      </c>
      <c r="B817" s="1" t="n">
        <v>45546.43177083333</v>
      </c>
      <c r="C817" s="1" t="n">
        <v>46135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27494-2023</t>
        </is>
      </c>
      <c r="B818" s="1" t="n">
        <v>45097</v>
      </c>
      <c r="C818" s="1" t="n">
        <v>46135</v>
      </c>
      <c r="D818" t="inlineStr">
        <is>
          <t>VÄSTRA GÖTALANDS LÄN</t>
        </is>
      </c>
      <c r="E818" t="inlineStr">
        <is>
          <t>ULRICEHAMN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63094-2023</t>
        </is>
      </c>
      <c r="B819" s="1" t="n">
        <v>45273</v>
      </c>
      <c r="C819" s="1" t="n">
        <v>46135</v>
      </c>
      <c r="D819" t="inlineStr">
        <is>
          <t>VÄSTRA GÖTALANDS LÄN</t>
        </is>
      </c>
      <c r="E819" t="inlineStr">
        <is>
          <t>ULRICEHAMN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12552-2022</t>
        </is>
      </c>
      <c r="B820" s="1" t="n">
        <v>44638.75981481482</v>
      </c>
      <c r="C820" s="1" t="n">
        <v>46135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Kommuner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4513-2025</t>
        </is>
      </c>
      <c r="B821" s="1" t="n">
        <v>45686.83392361111</v>
      </c>
      <c r="C821" s="1" t="n">
        <v>46135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14592-2024</t>
        </is>
      </c>
      <c r="B822" s="1" t="n">
        <v>45395.5187962963</v>
      </c>
      <c r="C822" s="1" t="n">
        <v>46135</v>
      </c>
      <c r="D822" t="inlineStr">
        <is>
          <t>VÄSTRA GÖTALANDS LÄN</t>
        </is>
      </c>
      <c r="E822" t="inlineStr">
        <is>
          <t>ULRICEHAMN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22824-2022</t>
        </is>
      </c>
      <c r="B823" s="1" t="n">
        <v>44715.42887731481</v>
      </c>
      <c r="C823" s="1" t="n">
        <v>46135</v>
      </c>
      <c r="D823" t="inlineStr">
        <is>
          <t>VÄSTRA GÖTALANDS LÄN</t>
        </is>
      </c>
      <c r="E823" t="inlineStr">
        <is>
          <t>ULRICEHAMN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73932-2021</t>
        </is>
      </c>
      <c r="B824" s="1" t="n">
        <v>44553</v>
      </c>
      <c r="C824" s="1" t="n">
        <v>46135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38986-2023</t>
        </is>
      </c>
      <c r="B825" s="1" t="n">
        <v>45163.65444444444</v>
      </c>
      <c r="C825" s="1" t="n">
        <v>46135</v>
      </c>
      <c r="D825" t="inlineStr">
        <is>
          <t>VÄSTRA GÖTALANDS LÄN</t>
        </is>
      </c>
      <c r="E825" t="inlineStr">
        <is>
          <t>ULRICEHAMN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41572-2024</t>
        </is>
      </c>
      <c r="B826" s="1" t="n">
        <v>45560.54604166667</v>
      </c>
      <c r="C826" s="1" t="n">
        <v>46135</v>
      </c>
      <c r="D826" t="inlineStr">
        <is>
          <t>VÄSTRA GÖTALANDS LÄN</t>
        </is>
      </c>
      <c r="E826" t="inlineStr">
        <is>
          <t>ULRICEHAMN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62650-2023</t>
        </is>
      </c>
      <c r="B827" s="1" t="n">
        <v>45271</v>
      </c>
      <c r="C827" s="1" t="n">
        <v>46135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Kyrkan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6244-2025</t>
        </is>
      </c>
      <c r="B828" s="1" t="n">
        <v>45698.56950231481</v>
      </c>
      <c r="C828" s="1" t="n">
        <v>46135</v>
      </c>
      <c r="D828" t="inlineStr">
        <is>
          <t>VÄSTRA GÖTALANDS LÄN</t>
        </is>
      </c>
      <c r="E828" t="inlineStr">
        <is>
          <t>ULRICEHAMN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36096-2024</t>
        </is>
      </c>
      <c r="B829" s="1" t="n">
        <v>45533.72237268519</v>
      </c>
      <c r="C829" s="1" t="n">
        <v>46135</v>
      </c>
      <c r="D829" t="inlineStr">
        <is>
          <t>VÄSTRA GÖTALANDS LÄN</t>
        </is>
      </c>
      <c r="E829" t="inlineStr">
        <is>
          <t>ULRICEHAMN</t>
        </is>
      </c>
      <c r="G829" t="n">
        <v>12.5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51914-2023</t>
        </is>
      </c>
      <c r="B830" s="1" t="n">
        <v>45223</v>
      </c>
      <c r="C830" s="1" t="n">
        <v>46135</v>
      </c>
      <c r="D830" t="inlineStr">
        <is>
          <t>VÄSTRA GÖTALANDS LÄN</t>
        </is>
      </c>
      <c r="E830" t="inlineStr">
        <is>
          <t>ULRICEHAMN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34767-2023</t>
        </is>
      </c>
      <c r="B831" s="1" t="n">
        <v>45140</v>
      </c>
      <c r="C831" s="1" t="n">
        <v>46135</v>
      </c>
      <c r="D831" t="inlineStr">
        <is>
          <t>VÄSTRA GÖTALANDS LÄN</t>
        </is>
      </c>
      <c r="E831" t="inlineStr">
        <is>
          <t>ULRICEHAMN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51200-2024</t>
        </is>
      </c>
      <c r="B832" s="1" t="n">
        <v>45603.6200925926</v>
      </c>
      <c r="C832" s="1" t="n">
        <v>46135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56673-2024</t>
        </is>
      </c>
      <c r="B833" s="1" t="n">
        <v>45626.76655092592</v>
      </c>
      <c r="C833" s="1" t="n">
        <v>46135</v>
      </c>
      <c r="D833" t="inlineStr">
        <is>
          <t>VÄSTRA GÖTALANDS LÄN</t>
        </is>
      </c>
      <c r="E833" t="inlineStr">
        <is>
          <t>ULRICEHAMN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38180-2023</t>
        </is>
      </c>
      <c r="B834" s="1" t="n">
        <v>45161.45855324074</v>
      </c>
      <c r="C834" s="1" t="n">
        <v>46135</v>
      </c>
      <c r="D834" t="inlineStr">
        <is>
          <t>VÄSTRA GÖTALANDS LÄN</t>
        </is>
      </c>
      <c r="E834" t="inlineStr">
        <is>
          <t>ULRICEHAMN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10714-2022</t>
        </is>
      </c>
      <c r="B835" s="1" t="n">
        <v>44626</v>
      </c>
      <c r="C835" s="1" t="n">
        <v>46135</v>
      </c>
      <c r="D835" t="inlineStr">
        <is>
          <t>VÄSTRA GÖTALANDS LÄN</t>
        </is>
      </c>
      <c r="E835" t="inlineStr">
        <is>
          <t>ULRICEHAMN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60744-2022</t>
        </is>
      </c>
      <c r="B836" s="1" t="n">
        <v>44914.29723379629</v>
      </c>
      <c r="C836" s="1" t="n">
        <v>46135</v>
      </c>
      <c r="D836" t="inlineStr">
        <is>
          <t>VÄSTRA GÖTALANDS LÄN</t>
        </is>
      </c>
      <c r="E836" t="inlineStr">
        <is>
          <t>ULRICEHAMN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14919-2024</t>
        </is>
      </c>
      <c r="B837" s="1" t="n">
        <v>45398</v>
      </c>
      <c r="C837" s="1" t="n">
        <v>46135</v>
      </c>
      <c r="D837" t="inlineStr">
        <is>
          <t>VÄSTRA GÖTALANDS LÄN</t>
        </is>
      </c>
      <c r="E837" t="inlineStr">
        <is>
          <t>ULRICEHAMN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7386-2023</t>
        </is>
      </c>
      <c r="B838" s="1" t="n">
        <v>44971.45841435185</v>
      </c>
      <c r="C838" s="1" t="n">
        <v>46135</v>
      </c>
      <c r="D838" t="inlineStr">
        <is>
          <t>VÄSTRA GÖTALANDS LÄN</t>
        </is>
      </c>
      <c r="E838" t="inlineStr">
        <is>
          <t>ULRICEHAMN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65400-2021</t>
        </is>
      </c>
      <c r="B839" s="1" t="n">
        <v>44515.82825231482</v>
      </c>
      <c r="C839" s="1" t="n">
        <v>46135</v>
      </c>
      <c r="D839" t="inlineStr">
        <is>
          <t>VÄSTRA GÖTALANDS LÄN</t>
        </is>
      </c>
      <c r="E839" t="inlineStr">
        <is>
          <t>ULRICEHAMN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46837-2023</t>
        </is>
      </c>
      <c r="B840" s="1" t="n">
        <v>45199.41509259259</v>
      </c>
      <c r="C840" s="1" t="n">
        <v>46135</v>
      </c>
      <c r="D840" t="inlineStr">
        <is>
          <t>VÄSTRA GÖTALANDS LÄN</t>
        </is>
      </c>
      <c r="E840" t="inlineStr">
        <is>
          <t>ULRICEHAMN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22480-2023</t>
        </is>
      </c>
      <c r="B841" s="1" t="n">
        <v>45071</v>
      </c>
      <c r="C841" s="1" t="n">
        <v>46135</v>
      </c>
      <c r="D841" t="inlineStr">
        <is>
          <t>VÄSTRA GÖTALANDS LÄN</t>
        </is>
      </c>
      <c r="E841" t="inlineStr">
        <is>
          <t>ULRICEHAMN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18919-2024</t>
        </is>
      </c>
      <c r="B842" s="1" t="n">
        <v>45427.40872685185</v>
      </c>
      <c r="C842" s="1" t="n">
        <v>46135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39454-2023</t>
        </is>
      </c>
      <c r="B843" s="1" t="n">
        <v>45166.75233796296</v>
      </c>
      <c r="C843" s="1" t="n">
        <v>46135</v>
      </c>
      <c r="D843" t="inlineStr">
        <is>
          <t>VÄSTRA GÖTALANDS LÄN</t>
        </is>
      </c>
      <c r="E843" t="inlineStr">
        <is>
          <t>ULRICEHAMN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42205-2022</t>
        </is>
      </c>
      <c r="B844" s="1" t="n">
        <v>44830.65798611111</v>
      </c>
      <c r="C844" s="1" t="n">
        <v>46135</v>
      </c>
      <c r="D844" t="inlineStr">
        <is>
          <t>VÄSTRA GÖTALANDS LÄN</t>
        </is>
      </c>
      <c r="E844" t="inlineStr">
        <is>
          <t>ULRICEHAMN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5158-2025</t>
        </is>
      </c>
      <c r="B845" s="1" t="n">
        <v>45691.60722222222</v>
      </c>
      <c r="C845" s="1" t="n">
        <v>46135</v>
      </c>
      <c r="D845" t="inlineStr">
        <is>
          <t>VÄSTRA GÖTALANDS LÄN</t>
        </is>
      </c>
      <c r="E845" t="inlineStr">
        <is>
          <t>ULRICEHAMN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7315-2025</t>
        </is>
      </c>
      <c r="B846" s="1" t="n">
        <v>45702.75126157407</v>
      </c>
      <c r="C846" s="1" t="n">
        <v>46135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6252-2023</t>
        </is>
      </c>
      <c r="B847" s="1" t="n">
        <v>44965.33583333333</v>
      </c>
      <c r="C847" s="1" t="n">
        <v>46135</v>
      </c>
      <c r="D847" t="inlineStr">
        <is>
          <t>VÄSTRA GÖTALANDS LÄN</t>
        </is>
      </c>
      <c r="E847" t="inlineStr">
        <is>
          <t>ULRICEHAMN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6324-2025</t>
        </is>
      </c>
      <c r="B848" s="1" t="n">
        <v>45698.8477199074</v>
      </c>
      <c r="C848" s="1" t="n">
        <v>46135</v>
      </c>
      <c r="D848" t="inlineStr">
        <is>
          <t>VÄSTRA GÖTALANDS LÄN</t>
        </is>
      </c>
      <c r="E848" t="inlineStr">
        <is>
          <t>ULRICEHAMN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8738-2024</t>
        </is>
      </c>
      <c r="B849" s="1" t="n">
        <v>45356.47700231482</v>
      </c>
      <c r="C849" s="1" t="n">
        <v>46135</v>
      </c>
      <c r="D849" t="inlineStr">
        <is>
          <t>VÄSTRA GÖTALANDS LÄN</t>
        </is>
      </c>
      <c r="E849" t="inlineStr">
        <is>
          <t>ULRICEHAMN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51659-2024</t>
        </is>
      </c>
      <c r="B850" s="1" t="n">
        <v>45606.7063425926</v>
      </c>
      <c r="C850" s="1" t="n">
        <v>46135</v>
      </c>
      <c r="D850" t="inlineStr">
        <is>
          <t>VÄSTRA GÖTALANDS LÄN</t>
        </is>
      </c>
      <c r="E850" t="inlineStr">
        <is>
          <t>ULRICEHAMN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50665-2024</t>
        </is>
      </c>
      <c r="B851" s="1" t="n">
        <v>45601.76715277778</v>
      </c>
      <c r="C851" s="1" t="n">
        <v>46135</v>
      </c>
      <c r="D851" t="inlineStr">
        <is>
          <t>VÄSTRA GÖTALANDS LÄN</t>
        </is>
      </c>
      <c r="E851" t="inlineStr">
        <is>
          <t>ULRICEHAMN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19823-2025</t>
        </is>
      </c>
      <c r="B852" s="1" t="n">
        <v>45771.46571759259</v>
      </c>
      <c r="C852" s="1" t="n">
        <v>46135</v>
      </c>
      <c r="D852" t="inlineStr">
        <is>
          <t>VÄSTRA GÖTALANDS LÄN</t>
        </is>
      </c>
      <c r="E852" t="inlineStr">
        <is>
          <t>ULRICEHAMN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64282-2023</t>
        </is>
      </c>
      <c r="B853" s="1" t="n">
        <v>45280.31978009259</v>
      </c>
      <c r="C853" s="1" t="n">
        <v>46135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30912-2024</t>
        </is>
      </c>
      <c r="B854" s="1" t="n">
        <v>45498.6093287037</v>
      </c>
      <c r="C854" s="1" t="n">
        <v>46135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Kyrkan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46493-2023</t>
        </is>
      </c>
      <c r="B855" s="1" t="n">
        <v>45197</v>
      </c>
      <c r="C855" s="1" t="n">
        <v>46135</v>
      </c>
      <c r="D855" t="inlineStr">
        <is>
          <t>VÄSTRA GÖTALANDS LÄN</t>
        </is>
      </c>
      <c r="E855" t="inlineStr">
        <is>
          <t>ULRICEHAMN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3110-2024</t>
        </is>
      </c>
      <c r="B856" s="1" t="n">
        <v>45316</v>
      </c>
      <c r="C856" s="1" t="n">
        <v>46135</v>
      </c>
      <c r="D856" t="inlineStr">
        <is>
          <t>VÄSTRA GÖTALANDS LÄN</t>
        </is>
      </c>
      <c r="E856" t="inlineStr">
        <is>
          <t>ULRICEHAMN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8977-2024</t>
        </is>
      </c>
      <c r="B857" s="1" t="n">
        <v>45357.50591435185</v>
      </c>
      <c r="C857" s="1" t="n">
        <v>46135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Sveaskog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14149-2023</t>
        </is>
      </c>
      <c r="B858" s="1" t="n">
        <v>45009.47876157407</v>
      </c>
      <c r="C858" s="1" t="n">
        <v>46135</v>
      </c>
      <c r="D858" t="inlineStr">
        <is>
          <t>VÄSTRA GÖTALANDS LÄN</t>
        </is>
      </c>
      <c r="E858" t="inlineStr">
        <is>
          <t>ULRICEHAMN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38697-2023</t>
        </is>
      </c>
      <c r="B859" s="1" t="n">
        <v>45163.29509259259</v>
      </c>
      <c r="C859" s="1" t="n">
        <v>46135</v>
      </c>
      <c r="D859" t="inlineStr">
        <is>
          <t>VÄSTRA GÖTALANDS LÄN</t>
        </is>
      </c>
      <c r="E859" t="inlineStr">
        <is>
          <t>ULRICEHAMN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13819-2023</t>
        </is>
      </c>
      <c r="B860" s="1" t="n">
        <v>45007.57650462963</v>
      </c>
      <c r="C860" s="1" t="n">
        <v>46135</v>
      </c>
      <c r="D860" t="inlineStr">
        <is>
          <t>VÄSTRA GÖTALANDS LÄN</t>
        </is>
      </c>
      <c r="E860" t="inlineStr">
        <is>
          <t>ULRICEHAMN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69114-2021</t>
        </is>
      </c>
      <c r="B861" s="1" t="n">
        <v>44530</v>
      </c>
      <c r="C861" s="1" t="n">
        <v>46135</v>
      </c>
      <c r="D861" t="inlineStr">
        <is>
          <t>VÄSTRA GÖTALANDS LÄN</t>
        </is>
      </c>
      <c r="E861" t="inlineStr">
        <is>
          <t>ULRICEHAMN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23334-2021</t>
        </is>
      </c>
      <c r="B862" s="1" t="n">
        <v>44333.52131944444</v>
      </c>
      <c r="C862" s="1" t="n">
        <v>46135</v>
      </c>
      <c r="D862" t="inlineStr">
        <is>
          <t>VÄSTRA GÖTALANDS LÄN</t>
        </is>
      </c>
      <c r="E862" t="inlineStr">
        <is>
          <t>ULRICEHAMN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31206-2021</t>
        </is>
      </c>
      <c r="B863" s="1" t="n">
        <v>44368</v>
      </c>
      <c r="C863" s="1" t="n">
        <v>46135</v>
      </c>
      <c r="D863" t="inlineStr">
        <is>
          <t>VÄSTRA GÖTALANDS LÄN</t>
        </is>
      </c>
      <c r="E863" t="inlineStr">
        <is>
          <t>ULRICEHAMN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16278-2024</t>
        </is>
      </c>
      <c r="B864" s="1" t="n">
        <v>45407.35623842593</v>
      </c>
      <c r="C864" s="1" t="n">
        <v>46135</v>
      </c>
      <c r="D864" t="inlineStr">
        <is>
          <t>VÄSTRA GÖTALANDS LÄN</t>
        </is>
      </c>
      <c r="E864" t="inlineStr">
        <is>
          <t>ULRICEHAMN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40684-2024</t>
        </is>
      </c>
      <c r="B865" s="1" t="n">
        <v>45558.37883101852</v>
      </c>
      <c r="C865" s="1" t="n">
        <v>46135</v>
      </c>
      <c r="D865" t="inlineStr">
        <is>
          <t>VÄSTRA GÖTALANDS LÄN</t>
        </is>
      </c>
      <c r="E865" t="inlineStr">
        <is>
          <t>ULRICEHAMN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27256-2024</t>
        </is>
      </c>
      <c r="B866" s="1" t="n">
        <v>45471.74501157407</v>
      </c>
      <c r="C866" s="1" t="n">
        <v>46135</v>
      </c>
      <c r="D866" t="inlineStr">
        <is>
          <t>VÄSTRA GÖTALANDS LÄN</t>
        </is>
      </c>
      <c r="E866" t="inlineStr">
        <is>
          <t>ULRICEHAMN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20593-2025</t>
        </is>
      </c>
      <c r="B867" s="1" t="n">
        <v>45775.73076388889</v>
      </c>
      <c r="C867" s="1" t="n">
        <v>46135</v>
      </c>
      <c r="D867" t="inlineStr">
        <is>
          <t>VÄSTRA GÖTALANDS LÄN</t>
        </is>
      </c>
      <c r="E867" t="inlineStr">
        <is>
          <t>ULRICEHAMN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46310-2022</t>
        </is>
      </c>
      <c r="B868" s="1" t="n">
        <v>44847.89084490741</v>
      </c>
      <c r="C868" s="1" t="n">
        <v>46135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54903-2023</t>
        </is>
      </c>
      <c r="B869" s="1" t="n">
        <v>45236</v>
      </c>
      <c r="C869" s="1" t="n">
        <v>46135</v>
      </c>
      <c r="D869" t="inlineStr">
        <is>
          <t>VÄSTRA GÖTALANDS LÄN</t>
        </is>
      </c>
      <c r="E869" t="inlineStr">
        <is>
          <t>ULRICEHAMN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38340-2022</t>
        </is>
      </c>
      <c r="B870" s="1" t="n">
        <v>44812</v>
      </c>
      <c r="C870" s="1" t="n">
        <v>46135</v>
      </c>
      <c r="D870" t="inlineStr">
        <is>
          <t>VÄSTRA GÖTALANDS LÄN</t>
        </is>
      </c>
      <c r="E870" t="inlineStr">
        <is>
          <t>ULRICEHAMN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31366-2024</t>
        </is>
      </c>
      <c r="B871" s="1" t="n">
        <v>45505.37262731481</v>
      </c>
      <c r="C871" s="1" t="n">
        <v>46135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7344-2023</t>
        </is>
      </c>
      <c r="B872" s="1" t="n">
        <v>44971</v>
      </c>
      <c r="C872" s="1" t="n">
        <v>46135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50500-2024</t>
        </is>
      </c>
      <c r="B873" s="1" t="n">
        <v>45601.52255787037</v>
      </c>
      <c r="C873" s="1" t="n">
        <v>46135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18296-2022</t>
        </is>
      </c>
      <c r="B874" s="1" t="n">
        <v>44685.53243055556</v>
      </c>
      <c r="C874" s="1" t="n">
        <v>46135</v>
      </c>
      <c r="D874" t="inlineStr">
        <is>
          <t>VÄSTRA GÖTALANDS LÄN</t>
        </is>
      </c>
      <c r="E874" t="inlineStr">
        <is>
          <t>ULRICEHAMN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17562-2025</t>
        </is>
      </c>
      <c r="B875" s="1" t="n">
        <v>45757.63822916667</v>
      </c>
      <c r="C875" s="1" t="n">
        <v>46135</v>
      </c>
      <c r="D875" t="inlineStr">
        <is>
          <t>VÄSTRA GÖTALANDS LÄN</t>
        </is>
      </c>
      <c r="E875" t="inlineStr">
        <is>
          <t>ULRICEHAMN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36833-2024</t>
        </is>
      </c>
      <c r="B876" s="1" t="n">
        <v>45538.52077546297</v>
      </c>
      <c r="C876" s="1" t="n">
        <v>46135</v>
      </c>
      <c r="D876" t="inlineStr">
        <is>
          <t>VÄSTRA GÖTALANDS LÄN</t>
        </is>
      </c>
      <c r="E876" t="inlineStr">
        <is>
          <t>ULRICEHAMN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26749-2023</t>
        </is>
      </c>
      <c r="B877" s="1" t="n">
        <v>45093</v>
      </c>
      <c r="C877" s="1" t="n">
        <v>46135</v>
      </c>
      <c r="D877" t="inlineStr">
        <is>
          <t>VÄSTRA GÖTALANDS LÄN</t>
        </is>
      </c>
      <c r="E877" t="inlineStr">
        <is>
          <t>ULRICEHAMN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3440-2024</t>
        </is>
      </c>
      <c r="B878" s="1" t="n">
        <v>45320</v>
      </c>
      <c r="C878" s="1" t="n">
        <v>46135</v>
      </c>
      <c r="D878" t="inlineStr">
        <is>
          <t>VÄSTRA GÖTALANDS LÄN</t>
        </is>
      </c>
      <c r="E878" t="inlineStr">
        <is>
          <t>ULRICEHAMN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52763-2023</t>
        </is>
      </c>
      <c r="B879" s="1" t="n">
        <v>45226.28296296296</v>
      </c>
      <c r="C879" s="1" t="n">
        <v>46135</v>
      </c>
      <c r="D879" t="inlineStr">
        <is>
          <t>VÄSTRA GÖTALANDS LÄN</t>
        </is>
      </c>
      <c r="E879" t="inlineStr">
        <is>
          <t>ULRICEHAMN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31212-2022</t>
        </is>
      </c>
      <c r="B880" s="1" t="n">
        <v>44771.35465277778</v>
      </c>
      <c r="C880" s="1" t="n">
        <v>46135</v>
      </c>
      <c r="D880" t="inlineStr">
        <is>
          <t>VÄSTRA GÖTALANDS LÄN</t>
        </is>
      </c>
      <c r="E880" t="inlineStr">
        <is>
          <t>ULRICEHAMN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49986-2023</t>
        </is>
      </c>
      <c r="B881" s="1" t="n">
        <v>45215.43009259259</v>
      </c>
      <c r="C881" s="1" t="n">
        <v>46135</v>
      </c>
      <c r="D881" t="inlineStr">
        <is>
          <t>VÄSTRA GÖTALANDS LÄN</t>
        </is>
      </c>
      <c r="E881" t="inlineStr">
        <is>
          <t>ULRICEHAMN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39343-2022</t>
        </is>
      </c>
      <c r="B882" s="1" t="n">
        <v>44817</v>
      </c>
      <c r="C882" s="1" t="n">
        <v>46135</v>
      </c>
      <c r="D882" t="inlineStr">
        <is>
          <t>VÄSTRA GÖTALANDS LÄN</t>
        </is>
      </c>
      <c r="E882" t="inlineStr">
        <is>
          <t>ULRICEHAMN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22427-2023</t>
        </is>
      </c>
      <c r="B883" s="1" t="n">
        <v>45070.6696875</v>
      </c>
      <c r="C883" s="1" t="n">
        <v>46135</v>
      </c>
      <c r="D883" t="inlineStr">
        <is>
          <t>VÄSTRA GÖTALANDS LÄN</t>
        </is>
      </c>
      <c r="E883" t="inlineStr">
        <is>
          <t>ULRICEHAMN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1726-2025</t>
        </is>
      </c>
      <c r="B884" s="1" t="n">
        <v>45671.35555555556</v>
      </c>
      <c r="C884" s="1" t="n">
        <v>46135</v>
      </c>
      <c r="D884" t="inlineStr">
        <is>
          <t>VÄSTRA GÖTALANDS LÄN</t>
        </is>
      </c>
      <c r="E884" t="inlineStr">
        <is>
          <t>ULRICEHAMN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13106-2023</t>
        </is>
      </c>
      <c r="B885" s="1" t="n">
        <v>45002.45552083333</v>
      </c>
      <c r="C885" s="1" t="n">
        <v>46135</v>
      </c>
      <c r="D885" t="inlineStr">
        <is>
          <t>VÄSTRA GÖTALANDS LÄN</t>
        </is>
      </c>
      <c r="E885" t="inlineStr">
        <is>
          <t>ULRICEHAMN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29529-2024</t>
        </is>
      </c>
      <c r="B886" s="1" t="n">
        <v>45484.4721875</v>
      </c>
      <c r="C886" s="1" t="n">
        <v>46135</v>
      </c>
      <c r="D886" t="inlineStr">
        <is>
          <t>VÄSTRA GÖTALANDS LÄN</t>
        </is>
      </c>
      <c r="E886" t="inlineStr">
        <is>
          <t>ULRICEHAMN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55448-2023</t>
        </is>
      </c>
      <c r="B887" s="1" t="n">
        <v>45231</v>
      </c>
      <c r="C887" s="1" t="n">
        <v>46135</v>
      </c>
      <c r="D887" t="inlineStr">
        <is>
          <t>VÄSTRA GÖTALANDS LÄN</t>
        </is>
      </c>
      <c r="E887" t="inlineStr">
        <is>
          <t>ULRICEHAMN</t>
        </is>
      </c>
      <c r="G887" t="n">
        <v>14.7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52681-2023</t>
        </is>
      </c>
      <c r="B888" s="1" t="n">
        <v>45225.7147800926</v>
      </c>
      <c r="C888" s="1" t="n">
        <v>46135</v>
      </c>
      <c r="D888" t="inlineStr">
        <is>
          <t>VÄSTRA GÖTALANDS LÄN</t>
        </is>
      </c>
      <c r="E888" t="inlineStr">
        <is>
          <t>ULRICEHAMN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2026-04-23T10:51:57Z</dcterms:created>
  <dcterms:modified xmlns:dcterms="http://purl.org/dc/terms/" xmlns:xsi="http://www.w3.org/2001/XMLSchema-instance" xsi:type="dcterms:W3CDTF">2026-04-23T10:51:57Z</dcterms:modified>
</cp:coreProperties>
</file>