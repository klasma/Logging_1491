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46271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46271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46271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46271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46271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46271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46271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46271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26380-2025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46271</v>
      </c>
      <c r="F25" t="inlineStr">
        <is>
          <t>VÄSTRA GÖTALANDS LÄN</t>
        </is>
      </c>
      <c r="G25" t="inlineStr">
        <is>
          <t>ULRICEHAMN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26380-2025 artfynd.xlsx", "A 26380-2025")</f>
        <v/>
      </c>
      <c r="X25">
        <f>HYPERLINK("https://klasma.github.io/Logging_1491/kartor/A 26380-2025 karta.png", "A 26380-2025")</f>
        <v/>
      </c>
      <c r="Y25">
        <f>HYPERLINK("https://klasma.github.io/Logging_1491/kartor_geotiff/A 26380-2025 georefererad karta.tif", "A 26380-2025")</f>
        <v/>
      </c>
      <c r="AA25">
        <f>HYPERLINK("https://klasma.github.io/Logging_1491/klagomål/A 26380-2025 FSC-klagomål.docx", "A 26380-2025")</f>
        <v/>
      </c>
      <c r="AB25">
        <f>HYPERLINK("https://klasma.github.io/Logging_1491/klagomålsmail/A 26380-2025 FSC-klagomål mail.docx", "A 26380-2025")</f>
        <v/>
      </c>
      <c r="AC25">
        <f>HYPERLINK("https://klasma.github.io/Logging_1491/tillsyn/A 26380-2025 tillsynsbegäran.docx", "A 26380-2025")</f>
        <v/>
      </c>
      <c r="AD25">
        <f>HYPERLINK("https://klasma.github.io/Logging_1491/tillsynsmail/A 26380-2025 tillsynsbegäran mail.docx", "A 26380-2025")</f>
        <v/>
      </c>
      <c r="AE25">
        <f>HYPERLINK("https://klasma.github.io/Logging_1491/fåglar/A 26380-2025 prioriterade fågelarter.docx", "A 26380-2025")</f>
        <v/>
      </c>
    </row>
    <row r="26" ht="15" customHeight="1">
      <c r="A26" t="inlineStr">
        <is>
          <t>A 26381-2025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46271</v>
      </c>
      <c r="F26" t="inlineStr">
        <is>
          <t>VÄSTRA GÖTALANDS LÄN</t>
        </is>
      </c>
      <c r="G26" t="inlineStr">
        <is>
          <t>ULRICEHAMN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26381-2025 artfynd.xlsx", "A 26381-2025")</f>
        <v/>
      </c>
      <c r="X26">
        <f>HYPERLINK("https://klasma.github.io/Logging_1491/kartor/A 26381-2025 karta.png", "A 26381-2025")</f>
        <v/>
      </c>
      <c r="Y26">
        <f>HYPERLINK("https://klasma.github.io/Logging_1491/kartor_geotiff/A 26381-2025 georefererad karta.tif", "A 26381-2025")</f>
        <v/>
      </c>
      <c r="AA26">
        <f>HYPERLINK("https://klasma.github.io/Logging_1491/klagomål/A 26381-2025 FSC-klagomål.docx", "A 26381-2025")</f>
        <v/>
      </c>
      <c r="AB26">
        <f>HYPERLINK("https://klasma.github.io/Logging_1491/klagomålsmail/A 26381-2025 FSC-klagomål mail.docx", "A 26381-2025")</f>
        <v/>
      </c>
      <c r="AC26">
        <f>HYPERLINK("https://klasma.github.io/Logging_1491/tillsyn/A 26381-2025 tillsynsbegäran.docx", "A 26381-2025")</f>
        <v/>
      </c>
      <c r="AD26">
        <f>HYPERLINK("https://klasma.github.io/Logging_1491/tillsynsmail/A 26381-2025 tillsynsbegäran mail.docx", "A 26381-2025")</f>
        <v/>
      </c>
      <c r="AE26">
        <f>HYPERLINK("https://klasma.github.io/Logging_1491/fåglar/A 26381-2025 prioriterade fågelarter.docx", "A 26381-2025")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46271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46271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46271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HYPERLINK("https://klasma.github.io/Logging_1491/artfynd/A 64810-2021 artfynd.xlsx", "A 64810-2021")</f>
        <v/>
      </c>
      <c r="X29">
        <f>HYPERLINK("https://klasma.github.io/Logging_1491/kartor/A 64810-2021 karta.png", "A 64810-2021")</f>
        <v/>
      </c>
      <c r="Y29">
        <f>HYPERLINK("https://klasma.github.io/Logging_1491/kartor_geotiff/A 64810-2021 georefererad karta.tif", "A 64810-2021")</f>
        <v/>
      </c>
      <c r="AA29">
        <f>HYPERLINK("https://klasma.github.io/Logging_1491/klagomål/A 64810-2021 FSC-klagomål.docx", "A 64810-2021")</f>
        <v/>
      </c>
      <c r="AB29">
        <f>HYPERLINK("https://klasma.github.io/Logging_1491/klagomålsmail/A 64810-2021 FSC-klagomål mail.docx", "A 64810-2021")</f>
        <v/>
      </c>
      <c r="AC29">
        <f>HYPERLINK("https://klasma.github.io/Logging_1491/tillsyn/A 64810-2021 tillsynsbegäran.docx", "A 64810-2021")</f>
        <v/>
      </c>
      <c r="AD29">
        <f>HYPERLINK("https://klasma.github.io/Logging_1491/tillsynsmail/A 64810-2021 tillsynsbegäran mail.docx", "A 64810-2021")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46271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46271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55007-2024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46271</v>
      </c>
      <c r="F32" t="inlineStr">
        <is>
          <t>VÄSTRA GÖTALANDS LÄN</t>
        </is>
      </c>
      <c r="G32" t="inlineStr">
        <is>
          <t>ULRICEHAMN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HYPERLINK("https://klasma.github.io/Logging_1491/artfynd/A 55007-2024 artfynd.xlsx", "A 55007-2024")</f>
        <v/>
      </c>
      <c r="X32">
        <f>HYPERLINK("https://klasma.github.io/Logging_1491/kartor/A 55007-2024 karta.png", "A 55007-2024")</f>
        <v/>
      </c>
      <c r="Y32">
        <f>HYPERLINK("https://klasma.github.io/Logging_1491/kartor_geotiff/A 55007-2024 georefererad karta.tif", "A 55007-2024")</f>
        <v/>
      </c>
      <c r="AA32">
        <f>HYPERLINK("https://klasma.github.io/Logging_1491/klagomål/A 55007-2024 FSC-klagomål.docx", "A 55007-2024")</f>
        <v/>
      </c>
      <c r="AB32">
        <f>HYPERLINK("https://klasma.github.io/Logging_1491/klagomålsmail/A 55007-2024 FSC-klagomål mail.docx", "A 55007-2024")</f>
        <v/>
      </c>
      <c r="AC32">
        <f>HYPERLINK("https://klasma.github.io/Logging_1491/tillsyn/A 55007-2024 tillsynsbegäran.docx", "A 55007-2024")</f>
        <v/>
      </c>
      <c r="AD32">
        <f>HYPERLINK("https://klasma.github.io/Logging_1491/tillsynsmail/A 55007-2024 tillsynsbegäran mail.docx", "A 55007-2024")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46271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46271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46271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46271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46271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46271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46271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46271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73932-2021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46271</v>
      </c>
      <c r="F41" t="inlineStr">
        <is>
          <t>VÄSTRA GÖTALANDS LÄN</t>
        </is>
      </c>
      <c r="G41" t="inlineStr">
        <is>
          <t>ULRICEHAMN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Backsippa</t>
        </is>
      </c>
      <c r="W41">
        <f>HYPERLINK("https://klasma.github.io/Logging_1491/artfynd/A 73932-2021 artfynd.xlsx", "A 73932-2021")</f>
        <v/>
      </c>
      <c r="X41">
        <f>HYPERLINK("https://klasma.github.io/Logging_1491/kartor/A 73932-2021 karta.png", "A 73932-2021")</f>
        <v/>
      </c>
      <c r="Y41">
        <f>HYPERLINK("https://klasma.github.io/Logging_1491/kartor_geotiff/A 73932-2021 georefererad karta.tif", "A 73932-2021")</f>
        <v/>
      </c>
      <c r="AA41">
        <f>HYPERLINK("https://klasma.github.io/Logging_1491/klagomål/A 73932-2021 FSC-klagomål.docx", "A 73932-2021")</f>
        <v/>
      </c>
      <c r="AB41">
        <f>HYPERLINK("https://klasma.github.io/Logging_1491/klagomålsmail/A 73932-2021 FSC-klagomål mail.docx", "A 73932-2021")</f>
        <v/>
      </c>
      <c r="AC41">
        <f>HYPERLINK("https://klasma.github.io/Logging_1491/tillsyn/A 73932-2021 tillsynsbegäran.docx", "A 73932-2021")</f>
        <v/>
      </c>
      <c r="AD41">
        <f>HYPERLINK("https://klasma.github.io/Logging_1491/tillsynsmail/A 73932-2021 tillsynsbegäran mail.docx", "A 73932-2021")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46271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46271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46271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46271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46271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46271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46271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46271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46271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46271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46271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46271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46271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46271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46271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46271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46271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46271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46271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46271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46271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46271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46271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46271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46271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46271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46271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46271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46271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46271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46271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46271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46271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46271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46271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46271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46271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46271</v>
      </c>
      <c r="F79" t="inlineStr">
        <is>
          <t>VÄSTRA GÖTALANDS LÄN</t>
        </is>
      </c>
      <c r="G79" t="inlineStr">
        <is>
          <t>ULRICEHAMN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46271</v>
      </c>
      <c r="F80" t="inlineStr">
        <is>
          <t>VÄSTRA GÖTALANDS LÄN</t>
        </is>
      </c>
      <c r="G80" t="inlineStr">
        <is>
          <t>ULRICEHAMN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46271</v>
      </c>
      <c r="F81" t="inlineStr">
        <is>
          <t>VÄSTRA GÖTALANDS LÄN</t>
        </is>
      </c>
      <c r="G81" t="inlineStr">
        <is>
          <t>ULRICEHAMN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46271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46271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46271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46271</v>
      </c>
      <c r="F85" t="inlineStr">
        <is>
          <t>VÄSTRA GÖTALANDS LÄN</t>
        </is>
      </c>
      <c r="G85" t="inlineStr">
        <is>
          <t>ULRICEHAMN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46271</v>
      </c>
      <c r="F86" t="inlineStr">
        <is>
          <t>VÄSTRA GÖTALANDS LÄN</t>
        </is>
      </c>
      <c r="G86" t="inlineStr">
        <is>
          <t>ULRICEHAMN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46271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46271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47598-2021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46271</v>
      </c>
      <c r="F89" t="inlineStr">
        <is>
          <t>VÄSTRA GÖTALANDS LÄN</t>
        </is>
      </c>
      <c r="G89" t="inlineStr">
        <is>
          <t>ULRICEHAMN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46271</v>
      </c>
      <c r="F90" t="inlineStr">
        <is>
          <t>VÄSTRA GÖTALANDS LÄN</t>
        </is>
      </c>
      <c r="G90" t="inlineStr">
        <is>
          <t>ULRICEHAMN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44656</v>
      </c>
      <c r="E91" s="1" t="n">
        <v>46271</v>
      </c>
      <c r="F91" t="inlineStr">
        <is>
          <t>VÄSTRA GÖTALANDS LÄN</t>
        </is>
      </c>
      <c r="G91" t="inlineStr">
        <is>
          <t>ULRICEHAMN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69670-2021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46271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46271</v>
      </c>
      <c r="F93" t="inlineStr">
        <is>
          <t>VÄSTRA GÖTALANDS LÄN</t>
        </is>
      </c>
      <c r="G93" t="inlineStr">
        <is>
          <t>ULRICEHAMN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44594</v>
      </c>
      <c r="E94" s="1" t="n">
        <v>46271</v>
      </c>
      <c r="F94" t="inlineStr">
        <is>
          <t>VÄSTRA GÖTALANDS LÄN</t>
        </is>
      </c>
      <c r="G94" t="inlineStr">
        <is>
          <t>ULRICEHAMN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46271</v>
      </c>
      <c r="F95" t="inlineStr">
        <is>
          <t>VÄSTRA GÖTALANDS LÄN</t>
        </is>
      </c>
      <c r="G95" t="inlineStr">
        <is>
          <t>ULRICEHAMN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46271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46271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46271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46271</v>
      </c>
      <c r="F99" t="inlineStr">
        <is>
          <t>VÄSTRA GÖTALANDS LÄN</t>
        </is>
      </c>
      <c r="G99" t="inlineStr">
        <is>
          <t>ULRICEHAMN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46271</v>
      </c>
      <c r="F100" t="inlineStr">
        <is>
          <t>VÄSTRA GÖTALANDS LÄN</t>
        </is>
      </c>
      <c r="G100" t="inlineStr">
        <is>
          <t>ULRICEHAMN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46271</v>
      </c>
      <c r="F101" t="inlineStr">
        <is>
          <t>VÄSTRA GÖTALANDS LÄN</t>
        </is>
      </c>
      <c r="G101" t="inlineStr">
        <is>
          <t>ULRICEHAMN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46271</v>
      </c>
      <c r="F102" t="inlineStr">
        <is>
          <t>VÄSTRA GÖTALANDS LÄN</t>
        </is>
      </c>
      <c r="G102" t="inlineStr">
        <is>
          <t>ULRICEHAMN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46271</v>
      </c>
      <c r="F103" t="inlineStr">
        <is>
          <t>VÄSTRA GÖTALANDS LÄN</t>
        </is>
      </c>
      <c r="G103" t="inlineStr">
        <is>
          <t>ULRICEHAMN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46271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46271</v>
      </c>
      <c r="F105" t="inlineStr">
        <is>
          <t>VÄSTRA GÖTALANDS LÄN</t>
        </is>
      </c>
      <c r="G105" t="inlineStr">
        <is>
          <t>ULRICEHAMN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46271</v>
      </c>
      <c r="F106" t="inlineStr">
        <is>
          <t>VÄSTRA GÖTALANDS LÄN</t>
        </is>
      </c>
      <c r="G106" t="inlineStr">
        <is>
          <t>ULRICEHAMN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46271</v>
      </c>
      <c r="F107" t="inlineStr">
        <is>
          <t>VÄSTRA GÖTALANDS LÄN</t>
        </is>
      </c>
      <c r="G107" t="inlineStr">
        <is>
          <t>ULRICEHAMN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46271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46271</v>
      </c>
      <c r="F109" t="inlineStr">
        <is>
          <t>VÄSTRA GÖTALANDS LÄN</t>
        </is>
      </c>
      <c r="G109" t="inlineStr">
        <is>
          <t>ULRICEHAMN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46271</v>
      </c>
      <c r="F110" t="inlineStr">
        <is>
          <t>VÄSTRA GÖTALANDS LÄN</t>
        </is>
      </c>
      <c r="G110" t="inlineStr">
        <is>
          <t>ULRICEHAMN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46271</v>
      </c>
      <c r="F111" t="inlineStr">
        <is>
          <t>VÄSTRA GÖTALANDS LÄN</t>
        </is>
      </c>
      <c r="G111" t="inlineStr">
        <is>
          <t>ULRICEHAMN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44609</v>
      </c>
      <c r="E112" s="1" t="n">
        <v>46271</v>
      </c>
      <c r="F112" t="inlineStr">
        <is>
          <t>VÄSTRA GÖTALANDS LÄN</t>
        </is>
      </c>
      <c r="G112" t="inlineStr">
        <is>
          <t>ULRICEHAMN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44464</v>
      </c>
      <c r="E113" s="1" t="n">
        <v>46271</v>
      </c>
      <c r="F113" t="inlineStr">
        <is>
          <t>VÄSTRA GÖTALANDS LÄN</t>
        </is>
      </c>
      <c r="G113" t="inlineStr">
        <is>
          <t>ULRICEHAMN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46271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44772</v>
      </c>
      <c r="E115" s="1" t="n">
        <v>46271</v>
      </c>
      <c r="F115" t="inlineStr">
        <is>
          <t>VÄSTRA GÖTALANDS LÄN</t>
        </is>
      </c>
      <c r="G115" t="inlineStr">
        <is>
          <t>ULRICEHAMN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44945</v>
      </c>
      <c r="E116" s="1" t="n">
        <v>46271</v>
      </c>
      <c r="F116" t="inlineStr">
        <is>
          <t>VÄSTRA GÖTALANDS LÄN</t>
        </is>
      </c>
      <c r="G116" t="inlineStr">
        <is>
          <t>ULRICEHAMN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16990-2024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46271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45348</v>
      </c>
      <c r="E118" s="1" t="n">
        <v>46271</v>
      </c>
      <c r="F118" t="inlineStr">
        <is>
          <t>VÄSTRA GÖTALANDS LÄN</t>
        </is>
      </c>
      <c r="G118" t="inlineStr">
        <is>
          <t>ULRICEHAMN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46271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50677-2021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44460</v>
      </c>
      <c r="E120" s="1" t="n">
        <v>46271</v>
      </c>
      <c r="F120" t="inlineStr">
        <is>
          <t>VÄSTRA GÖTALANDS LÄN</t>
        </is>
      </c>
      <c r="G120" t="inlineStr">
        <is>
          <t>ULRICEHAMN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46271</v>
      </c>
      <c r="F121" t="inlineStr">
        <is>
          <t>VÄSTRA GÖTALANDS LÄN</t>
        </is>
      </c>
      <c r="G121" t="inlineStr">
        <is>
          <t>ULRICEHAMN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46271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46271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46271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46271</v>
      </c>
      <c r="F125" t="inlineStr">
        <is>
          <t>VÄSTRA GÖTALANDS LÄN</t>
        </is>
      </c>
      <c r="G125" t="inlineStr">
        <is>
          <t>ULRICEHAMN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45162</v>
      </c>
      <c r="E126" s="1" t="n">
        <v>46271</v>
      </c>
      <c r="F126" t="inlineStr">
        <is>
          <t>VÄSTRA GÖTALANDS LÄN</t>
        </is>
      </c>
      <c r="G126" t="inlineStr">
        <is>
          <t>ULRICEHAMN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46271</v>
      </c>
      <c r="F127" t="inlineStr">
        <is>
          <t>VÄSTRA GÖTALANDS LÄN</t>
        </is>
      </c>
      <c r="G127" t="inlineStr">
        <is>
          <t>ULRICEHAMN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46271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45585</v>
      </c>
      <c r="E129" s="1" t="n">
        <v>46271</v>
      </c>
      <c r="F129" t="inlineStr">
        <is>
          <t>VÄSTRA GÖTALANDS LÄN</t>
        </is>
      </c>
      <c r="G129" t="inlineStr">
        <is>
          <t>ULRICEHAMN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44477</v>
      </c>
      <c r="E130" s="1" t="n">
        <v>46271</v>
      </c>
      <c r="F130" t="inlineStr">
        <is>
          <t>VÄSTRA GÖTALANDS LÄN</t>
        </is>
      </c>
      <c r="G130" t="inlineStr">
        <is>
          <t>ULRICEHAMN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46271</v>
      </c>
      <c r="F131" t="inlineStr">
        <is>
          <t>VÄSTRA GÖTALANDS LÄN</t>
        </is>
      </c>
      <c r="G131" t="inlineStr">
        <is>
          <t>ULRICEHAMN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46271</v>
      </c>
      <c r="F132" t="inlineStr">
        <is>
          <t>VÄSTRA GÖTALANDS LÄN</t>
        </is>
      </c>
      <c r="G132" t="inlineStr">
        <is>
          <t>ULRICEHAMN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46271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46271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46271</v>
      </c>
      <c r="F135" t="inlineStr">
        <is>
          <t>VÄSTRA GÖTALANDS LÄN</t>
        </is>
      </c>
      <c r="G135" t="inlineStr">
        <is>
          <t>ULRICEHAMN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46271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46271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46271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44724</v>
      </c>
      <c r="E139" s="1" t="n">
        <v>46271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46271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46271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46271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46271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46271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46271</v>
      </c>
      <c r="F145" t="inlineStr">
        <is>
          <t>VÄSTRA GÖTALANDS LÄN</t>
        </is>
      </c>
      <c r="G145" t="inlineStr">
        <is>
          <t>ULRICEHAMN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45006</v>
      </c>
      <c r="E146" s="1" t="n">
        <v>46271</v>
      </c>
      <c r="F146" t="inlineStr">
        <is>
          <t>VÄSTRA GÖTALANDS LÄN</t>
        </is>
      </c>
      <c r="G146" t="inlineStr">
        <is>
          <t>ULRICEHAMN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46271</v>
      </c>
      <c r="F147" t="inlineStr">
        <is>
          <t>VÄSTRA GÖTALANDS LÄN</t>
        </is>
      </c>
      <c r="G147" t="inlineStr">
        <is>
          <t>ULRICEHAMN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46271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46271</v>
      </c>
      <c r="F149" t="inlineStr">
        <is>
          <t>VÄSTRA GÖTALANDS LÄN</t>
        </is>
      </c>
      <c r="G149" t="inlineStr">
        <is>
          <t>ULRICEHAMN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46271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46271</v>
      </c>
      <c r="F151" t="inlineStr">
        <is>
          <t>VÄSTRA GÖTALANDS LÄN</t>
        </is>
      </c>
      <c r="G151" t="inlineStr">
        <is>
          <t>ULRICEHAMN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46271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46271</v>
      </c>
      <c r="F153" t="inlineStr">
        <is>
          <t>VÄSTRA GÖTALANDS LÄN</t>
        </is>
      </c>
      <c r="G153" t="inlineStr">
        <is>
          <t>ULRICEHAMN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46271</v>
      </c>
      <c r="F154" t="inlineStr">
        <is>
          <t>VÄSTRA GÖTALANDS LÄN</t>
        </is>
      </c>
      <c r="G154" t="inlineStr">
        <is>
          <t>ULRICEHAMN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46271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45606</v>
      </c>
      <c r="E156" s="1" t="n">
        <v>46271</v>
      </c>
      <c r="F156" t="inlineStr">
        <is>
          <t>VÄSTRA GÖTALANDS LÄN</t>
        </is>
      </c>
      <c r="G156" t="inlineStr">
        <is>
          <t>ULRICEHAMN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46271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46271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46271</v>
      </c>
      <c r="F159" t="inlineStr">
        <is>
          <t>VÄSTRA GÖTALANDS LÄN</t>
        </is>
      </c>
      <c r="G159" t="inlineStr">
        <is>
          <t>ULRICEHAMN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46271</v>
      </c>
      <c r="F160" t="inlineStr">
        <is>
          <t>VÄSTRA GÖTALANDS LÄN</t>
        </is>
      </c>
      <c r="G160" t="inlineStr">
        <is>
          <t>ULRICEHAMN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46271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46271</v>
      </c>
      <c r="F162" t="inlineStr">
        <is>
          <t>VÄSTRA GÖTALANDS LÄN</t>
        </is>
      </c>
      <c r="G162" t="inlineStr">
        <is>
          <t>ULRICEHAMN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46271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46271</v>
      </c>
      <c r="F164" t="inlineStr">
        <is>
          <t>VÄSTRA GÖTALANDS LÄN</t>
        </is>
      </c>
      <c r="G164" t="inlineStr">
        <is>
          <t>ULRICEHAMN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46271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45797</v>
      </c>
      <c r="E166" s="1" t="n">
        <v>46271</v>
      </c>
      <c r="F166" t="inlineStr">
        <is>
          <t>VÄSTRA GÖTALANDS LÄN</t>
        </is>
      </c>
      <c r="G166" t="inlineStr">
        <is>
          <t>ULRICEHAMN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46271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46271</v>
      </c>
      <c r="F168" t="inlineStr">
        <is>
          <t>VÄSTRA GÖTALANDS LÄN</t>
        </is>
      </c>
      <c r="G168" t="inlineStr">
        <is>
          <t>ULRICEHAMN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24901-2025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45799</v>
      </c>
      <c r="E169" s="1" t="n">
        <v>46271</v>
      </c>
      <c r="F169" t="inlineStr">
        <is>
          <t>VÄSTRA GÖTALANDS LÄN</t>
        </is>
      </c>
      <c r="G169" t="inlineStr">
        <is>
          <t>ULRICEHAMN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46271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46271</v>
      </c>
      <c r="F171" t="inlineStr">
        <is>
          <t>VÄSTRA GÖTALANDS LÄN</t>
        </is>
      </c>
      <c r="G171" t="inlineStr">
        <is>
          <t>ULRICEHAMN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46271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38640-2023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45162</v>
      </c>
      <c r="E173" s="1" t="n">
        <v>46271</v>
      </c>
      <c r="F173" t="inlineStr">
        <is>
          <t>VÄSTRA GÖTALANDS LÄN</t>
        </is>
      </c>
      <c r="G173" t="inlineStr">
        <is>
          <t>ULRICEHAMN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46271</v>
      </c>
      <c r="F174" t="inlineStr">
        <is>
          <t>VÄSTRA GÖTALANDS LÄN</t>
        </is>
      </c>
      <c r="G174" t="inlineStr">
        <is>
          <t>ULRICEHAMN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46271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45598</v>
      </c>
      <c r="E176" s="1" t="n">
        <v>46271</v>
      </c>
      <c r="F176" t="inlineStr">
        <is>
          <t>VÄSTRA GÖTALANDS LÄN</t>
        </is>
      </c>
      <c r="G176" t="inlineStr">
        <is>
          <t>ULRICEHAMN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56830-2022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44894</v>
      </c>
      <c r="E177" s="1" t="n">
        <v>46271</v>
      </c>
      <c r="F177" t="inlineStr">
        <is>
          <t>VÄSTRA GÖTALANDS LÄN</t>
        </is>
      </c>
      <c r="G177" t="inlineStr">
        <is>
          <t>ULRICEHAMN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46271</v>
      </c>
      <c r="F178" t="inlineStr">
        <is>
          <t>VÄSTRA GÖTALANDS LÄN</t>
        </is>
      </c>
      <c r="G178" t="inlineStr">
        <is>
          <t>ULRICEHAMN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46271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46271</v>
      </c>
      <c r="F180" t="inlineStr">
        <is>
          <t>VÄSTRA GÖTALANDS LÄN</t>
        </is>
      </c>
      <c r="G180" t="inlineStr">
        <is>
          <t>ULRICEHAMN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45334</v>
      </c>
      <c r="E181" s="1" t="n">
        <v>46271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46271</v>
      </c>
      <c r="F182" t="inlineStr">
        <is>
          <t>VÄSTRA GÖTALANDS LÄN</t>
        </is>
      </c>
      <c r="G182" t="inlineStr">
        <is>
          <t>ULRICEHAMN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46271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46271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46271</v>
      </c>
      <c r="F185" t="inlineStr">
        <is>
          <t>VÄSTRA GÖTALANDS LÄN</t>
        </is>
      </c>
      <c r="G185" t="inlineStr">
        <is>
          <t>ULRICEHAMN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46271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44566</v>
      </c>
      <c r="E187" s="1" t="n">
        <v>46271</v>
      </c>
      <c r="F187" t="inlineStr">
        <is>
          <t>VÄSTRA GÖTALANDS LÄN</t>
        </is>
      </c>
      <c r="G187" t="inlineStr">
        <is>
          <t>ULRICEHAMN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46271</v>
      </c>
      <c r="F188" t="inlineStr">
        <is>
          <t>VÄSTRA GÖTALANDS LÄN</t>
        </is>
      </c>
      <c r="G188" t="inlineStr">
        <is>
          <t>ULRICEHAMN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44824</v>
      </c>
      <c r="E189" s="1" t="n">
        <v>46271</v>
      </c>
      <c r="F189" t="inlineStr">
        <is>
          <t>VÄSTRA GÖTALANDS LÄN</t>
        </is>
      </c>
      <c r="G189" t="inlineStr">
        <is>
          <t>ULRICEHAMN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45806</v>
      </c>
      <c r="E190" s="1" t="n">
        <v>46271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45806</v>
      </c>
      <c r="E191" s="1" t="n">
        <v>46271</v>
      </c>
      <c r="F191" t="inlineStr">
        <is>
          <t>VÄSTRA GÖTALANDS LÄN</t>
        </is>
      </c>
      <c r="G191" t="inlineStr">
        <is>
          <t>ULRICEHAMN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45806</v>
      </c>
      <c r="E192" s="1" t="n">
        <v>46271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46271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46271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46271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46271</v>
      </c>
      <c r="F196" t="inlineStr">
        <is>
          <t>VÄSTRA GÖTALANDS LÄN</t>
        </is>
      </c>
      <c r="G196" t="inlineStr">
        <is>
          <t>ULRICEHAMN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46271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46271</v>
      </c>
      <c r="F198" t="inlineStr">
        <is>
          <t>VÄSTRA GÖTALANDS LÄN</t>
        </is>
      </c>
      <c r="G198" t="inlineStr">
        <is>
          <t>ULRICEHAMN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65872-2021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46271</v>
      </c>
      <c r="F199" t="inlineStr">
        <is>
          <t>VÄSTRA GÖTALANDS LÄN</t>
        </is>
      </c>
      <c r="G199" t="inlineStr">
        <is>
          <t>ULRICEHAMN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45473</v>
      </c>
      <c r="E200" s="1" t="n">
        <v>46271</v>
      </c>
      <c r="F200" t="inlineStr">
        <is>
          <t>VÄSTRA GÖTALANDS LÄN</t>
        </is>
      </c>
      <c r="G200" t="inlineStr">
        <is>
          <t>ULRICEHAMN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37791-2023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45159</v>
      </c>
      <c r="E201" s="1" t="n">
        <v>46271</v>
      </c>
      <c r="F201" t="inlineStr">
        <is>
          <t>VÄSTRA GÖTALANDS LÄN</t>
        </is>
      </c>
      <c r="G201" t="inlineStr">
        <is>
          <t>ULRICEHAMN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46271</v>
      </c>
      <c r="F202" t="inlineStr">
        <is>
          <t>VÄSTRA GÖTALANDS LÄN</t>
        </is>
      </c>
      <c r="G202" t="inlineStr">
        <is>
          <t>ULRICEHAMN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44971</v>
      </c>
      <c r="E203" s="1" t="n">
        <v>46271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46271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46271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46271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46271</v>
      </c>
      <c r="F207" t="inlineStr">
        <is>
          <t>VÄSTRA GÖTALANDS LÄN</t>
        </is>
      </c>
      <c r="G207" t="inlineStr">
        <is>
          <t>ULRICEHAMN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46271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46271</v>
      </c>
      <c r="F209" t="inlineStr">
        <is>
          <t>VÄSTRA GÖTALANDS LÄN</t>
        </is>
      </c>
      <c r="G209" t="inlineStr">
        <is>
          <t>ULRICEHAMN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45683</v>
      </c>
      <c r="E210" s="1" t="n">
        <v>46271</v>
      </c>
      <c r="F210" t="inlineStr">
        <is>
          <t>VÄSTRA GÖTALANDS LÄN</t>
        </is>
      </c>
      <c r="G210" t="inlineStr">
        <is>
          <t>ULRICEHAMN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46271</v>
      </c>
      <c r="F211" t="inlineStr">
        <is>
          <t>VÄSTRA GÖTALANDS LÄN</t>
        </is>
      </c>
      <c r="G211" t="inlineStr">
        <is>
          <t>ULRICEHAMN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46271</v>
      </c>
      <c r="F212" t="inlineStr">
        <is>
          <t>VÄSTRA GÖTALANDS LÄN</t>
        </is>
      </c>
      <c r="G212" t="inlineStr">
        <is>
          <t>ULRICEHAMN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46271</v>
      </c>
      <c r="F213" t="inlineStr">
        <is>
          <t>VÄSTRA GÖTALANDS LÄN</t>
        </is>
      </c>
      <c r="G213" t="inlineStr">
        <is>
          <t>ULRICEHAMN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45795</v>
      </c>
      <c r="E214" s="1" t="n">
        <v>46271</v>
      </c>
      <c r="F214" t="inlineStr">
        <is>
          <t>VÄSTRA GÖTALANDS LÄN</t>
        </is>
      </c>
      <c r="G214" t="inlineStr">
        <is>
          <t>ULRICEHAMN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46271</v>
      </c>
      <c r="F215" t="inlineStr">
        <is>
          <t>VÄSTRA GÖTALANDS LÄN</t>
        </is>
      </c>
      <c r="G215" t="inlineStr">
        <is>
          <t>ULRICEHAMN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46271</v>
      </c>
      <c r="F216" t="inlineStr">
        <is>
          <t>VÄSTRA GÖTALANDS LÄN</t>
        </is>
      </c>
      <c r="G216" t="inlineStr">
        <is>
          <t>ULRICEHAMN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46271</v>
      </c>
      <c r="F217" t="inlineStr">
        <is>
          <t>VÄSTRA GÖTALANDS LÄN</t>
        </is>
      </c>
      <c r="G217" t="inlineStr">
        <is>
          <t>ULRICEHAMN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46271</v>
      </c>
      <c r="F218" t="inlineStr">
        <is>
          <t>VÄSTRA GÖTALANDS LÄN</t>
        </is>
      </c>
      <c r="G218" t="inlineStr">
        <is>
          <t>ULRICEHAMN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46271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46271</v>
      </c>
      <c r="F220" t="inlineStr">
        <is>
          <t>VÄSTRA GÖTALANDS LÄN</t>
        </is>
      </c>
      <c r="G220" t="inlineStr">
        <is>
          <t>ULRICEHAMN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46271</v>
      </c>
      <c r="F221" t="inlineStr">
        <is>
          <t>VÄSTRA GÖTALANDS LÄN</t>
        </is>
      </c>
      <c r="G221" t="inlineStr">
        <is>
          <t>ULRICEHAMN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46271</v>
      </c>
      <c r="F222" t="inlineStr">
        <is>
          <t>VÄSTRA GÖTALANDS LÄN</t>
        </is>
      </c>
      <c r="G222" t="inlineStr">
        <is>
          <t>ULRICEHAMN</t>
        </is>
      </c>
      <c r="I222" t="n">
        <v>14.8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46271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46271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46271</v>
      </c>
      <c r="F225" t="inlineStr">
        <is>
          <t>VÄSTRA GÖTALANDS LÄN</t>
        </is>
      </c>
      <c r="G225" t="inlineStr">
        <is>
          <t>ULRICEHAMN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46271</v>
      </c>
      <c r="F226" t="inlineStr">
        <is>
          <t>VÄSTRA GÖTALANDS LÄN</t>
        </is>
      </c>
      <c r="G226" t="inlineStr">
        <is>
          <t>ULRICEHAMN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46271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46271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46271</v>
      </c>
      <c r="F229" t="inlineStr">
        <is>
          <t>VÄSTRA GÖTALANDS LÄN</t>
        </is>
      </c>
      <c r="G229" t="inlineStr">
        <is>
          <t>ULRICEHAMN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46271</v>
      </c>
      <c r="F230" t="inlineStr">
        <is>
          <t>VÄSTRA GÖTALANDS LÄN</t>
        </is>
      </c>
      <c r="G230" t="inlineStr">
        <is>
          <t>ULRICEHAMN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46271</v>
      </c>
      <c r="F231" t="inlineStr">
        <is>
          <t>VÄSTRA GÖTALANDS LÄN</t>
        </is>
      </c>
      <c r="G231" t="inlineStr">
        <is>
          <t>ULRICEHAMN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46271</v>
      </c>
      <c r="F232" t="inlineStr">
        <is>
          <t>VÄSTRA GÖTALANDS LÄN</t>
        </is>
      </c>
      <c r="G232" t="inlineStr">
        <is>
          <t>ULRICEHAMN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46271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46271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46271</v>
      </c>
      <c r="F235" t="inlineStr">
        <is>
          <t>VÄSTRA GÖTALANDS LÄN</t>
        </is>
      </c>
      <c r="G235" t="inlineStr">
        <is>
          <t>ULRICEHAMN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46271</v>
      </c>
      <c r="F236" t="inlineStr">
        <is>
          <t>VÄSTRA GÖTALANDS LÄN</t>
        </is>
      </c>
      <c r="G236" t="inlineStr">
        <is>
          <t>ULRICEHAMN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46271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46271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46271</v>
      </c>
      <c r="F239" t="inlineStr">
        <is>
          <t>VÄSTRA GÖTALANDS LÄN</t>
        </is>
      </c>
      <c r="G239" t="inlineStr">
        <is>
          <t>ULRICEHAMN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45157</v>
      </c>
      <c r="E240" s="1" t="n">
        <v>46271</v>
      </c>
      <c r="F240" t="inlineStr">
        <is>
          <t>VÄSTRA GÖTALANDS LÄN</t>
        </is>
      </c>
      <c r="G240" t="inlineStr">
        <is>
          <t>ULRICEHAMN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45043</v>
      </c>
      <c r="E241" s="1" t="n">
        <v>46271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46271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46271</v>
      </c>
      <c r="F243" t="inlineStr">
        <is>
          <t>VÄSTRA GÖTALANDS LÄN</t>
        </is>
      </c>
      <c r="G243" t="inlineStr">
        <is>
          <t>ULRICEHAMN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46271</v>
      </c>
      <c r="F244" t="inlineStr">
        <is>
          <t>VÄSTRA GÖTALANDS LÄN</t>
        </is>
      </c>
      <c r="G244" t="inlineStr">
        <is>
          <t>ULRICEHAMN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46271</v>
      </c>
      <c r="F245" t="inlineStr">
        <is>
          <t>VÄSTRA GÖTALANDS LÄN</t>
        </is>
      </c>
      <c r="G245" t="inlineStr">
        <is>
          <t>ULRICEHAMN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46271</v>
      </c>
      <c r="F246" t="inlineStr">
        <is>
          <t>VÄSTRA GÖTALANDS LÄN</t>
        </is>
      </c>
      <c r="G246" t="inlineStr">
        <is>
          <t>ULRICEHAMN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46271</v>
      </c>
      <c r="F247" t="inlineStr">
        <is>
          <t>VÄSTRA GÖTALANDS LÄN</t>
        </is>
      </c>
      <c r="G247" t="inlineStr">
        <is>
          <t>ULRICEHAMN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46271</v>
      </c>
      <c r="F248" t="inlineStr">
        <is>
          <t>VÄSTRA GÖTALANDS LÄN</t>
        </is>
      </c>
      <c r="G248" t="inlineStr">
        <is>
          <t>ULRICEHAMN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46271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44947</v>
      </c>
      <c r="E250" s="1" t="n">
        <v>46271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46271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46271</v>
      </c>
      <c r="F252" t="inlineStr">
        <is>
          <t>VÄSTRA GÖTALANDS LÄN</t>
        </is>
      </c>
      <c r="G252" t="inlineStr">
        <is>
          <t>ULRICEHAMN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46271</v>
      </c>
      <c r="F253" t="inlineStr">
        <is>
          <t>VÄSTRA GÖTALANDS LÄN</t>
        </is>
      </c>
      <c r="G253" t="inlineStr">
        <is>
          <t>ULRICEHAMN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46271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46271</v>
      </c>
      <c r="F255" t="inlineStr">
        <is>
          <t>VÄSTRA GÖTALANDS LÄN</t>
        </is>
      </c>
      <c r="G255" t="inlineStr">
        <is>
          <t>ULRICEHAMN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46271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46271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46271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45606</v>
      </c>
      <c r="E259" s="1" t="n">
        <v>46271</v>
      </c>
      <c r="F259" t="inlineStr">
        <is>
          <t>VÄSTRA GÖTALANDS LÄN</t>
        </is>
      </c>
      <c r="G259" t="inlineStr">
        <is>
          <t>ULRICEHAMN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46271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Sveaskog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46271</v>
      </c>
      <c r="F261" t="inlineStr">
        <is>
          <t>VÄSTRA GÖTALANDS LÄN</t>
        </is>
      </c>
      <c r="G261" t="inlineStr">
        <is>
          <t>ULRICEHAMN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46271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46271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Sveaskog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45227</v>
      </c>
      <c r="E264" s="1" t="n">
        <v>46271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45227</v>
      </c>
      <c r="E265" s="1" t="n">
        <v>46271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46271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46271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46271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46271</v>
      </c>
      <c r="F269" t="inlineStr">
        <is>
          <t>VÄSTRA GÖTALANDS LÄN</t>
        </is>
      </c>
      <c r="G269" t="inlineStr">
        <is>
          <t>ULRICEHAMN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46271</v>
      </c>
      <c r="F270" t="inlineStr">
        <is>
          <t>VÄSTRA GÖTALANDS LÄN</t>
        </is>
      </c>
      <c r="G270" t="inlineStr">
        <is>
          <t>ULRICEHAMN</t>
        </is>
      </c>
      <c r="I270" t="n">
        <v>16.7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46271</v>
      </c>
      <c r="F271" t="inlineStr">
        <is>
          <t>VÄSTRA GÖTALANDS LÄN</t>
        </is>
      </c>
      <c r="G271" t="inlineStr">
        <is>
          <t>ULRICEHAMN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46271</v>
      </c>
      <c r="F272" t="inlineStr">
        <is>
          <t>VÄSTRA GÖTALANDS LÄN</t>
        </is>
      </c>
      <c r="G272" t="inlineStr">
        <is>
          <t>ULRICEHAMN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52132-2024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45608</v>
      </c>
      <c r="E273" s="1" t="n">
        <v>46271</v>
      </c>
      <c r="F273" t="inlineStr">
        <is>
          <t>VÄSTRA GÖTALANDS LÄN</t>
        </is>
      </c>
      <c r="G273" t="inlineStr">
        <is>
          <t>ULRICEHAMN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46271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46271</v>
      </c>
      <c r="F275" t="inlineStr">
        <is>
          <t>VÄSTRA GÖTALANDS LÄN</t>
        </is>
      </c>
      <c r="G275" t="inlineStr">
        <is>
          <t>ULRICEHAMN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44663</v>
      </c>
      <c r="E276" s="1" t="n">
        <v>46271</v>
      </c>
      <c r="F276" t="inlineStr">
        <is>
          <t>VÄSTRA GÖTALANDS LÄN</t>
        </is>
      </c>
      <c r="G276" t="inlineStr">
        <is>
          <t>ULRICEHAMN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33631-2025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45841</v>
      </c>
      <c r="E277" s="1" t="n">
        <v>46271</v>
      </c>
      <c r="F277" t="inlineStr">
        <is>
          <t>VÄSTRA GÖTALANDS LÄN</t>
        </is>
      </c>
      <c r="G277" t="inlineStr">
        <is>
          <t>ULRICEHAMN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46271</v>
      </c>
      <c r="F278" t="inlineStr">
        <is>
          <t>VÄSTRA GÖTALANDS LÄN</t>
        </is>
      </c>
      <c r="G278" t="inlineStr">
        <is>
          <t>ULRICEHAMN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46271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45663</v>
      </c>
      <c r="E280" s="1" t="n">
        <v>46271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44800</v>
      </c>
      <c r="E281" s="1" t="n">
        <v>46271</v>
      </c>
      <c r="F281" t="inlineStr">
        <is>
          <t>VÄSTRA GÖTALANDS LÄN</t>
        </is>
      </c>
      <c r="G281" t="inlineStr">
        <is>
          <t>ULRICEHAMN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62620-2021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46271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46271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45784</v>
      </c>
      <c r="E284" s="1" t="n">
        <v>46271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46271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46271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46271</v>
      </c>
      <c r="F287" t="inlineStr">
        <is>
          <t>VÄSTRA GÖTALANDS LÄN</t>
        </is>
      </c>
      <c r="G287" t="inlineStr">
        <is>
          <t>ULRICEHAMN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46271</v>
      </c>
      <c r="F288" t="inlineStr">
        <is>
          <t>VÄSTRA GÖTALANDS LÄN</t>
        </is>
      </c>
      <c r="G288" t="inlineStr">
        <is>
          <t>ULRICEHAMN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46271</v>
      </c>
      <c r="F289" t="inlineStr">
        <is>
          <t>VÄSTRA GÖTALANDS LÄN</t>
        </is>
      </c>
      <c r="G289" t="inlineStr">
        <is>
          <t>ULRICEHAMN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46271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46271</v>
      </c>
      <c r="F291" t="inlineStr">
        <is>
          <t>VÄSTRA GÖTALANDS LÄN</t>
        </is>
      </c>
      <c r="G291" t="inlineStr">
        <is>
          <t>ULRICEHAMN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45663</v>
      </c>
      <c r="E292" s="1" t="n">
        <v>46271</v>
      </c>
      <c r="F292" t="inlineStr">
        <is>
          <t>VÄSTRA GÖTALANDS LÄN</t>
        </is>
      </c>
      <c r="G292" t="inlineStr">
        <is>
          <t>ULRICEHAMN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46271</v>
      </c>
      <c r="F293" t="inlineStr">
        <is>
          <t>VÄSTRA GÖTALANDS LÄN</t>
        </is>
      </c>
      <c r="G293" t="inlineStr">
        <is>
          <t>ULRICEHAMN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46271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45856</v>
      </c>
      <c r="E295" s="1" t="n">
        <v>46271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46271</v>
      </c>
      <c r="F296" t="inlineStr">
        <is>
          <t>VÄSTRA GÖTALANDS LÄN</t>
        </is>
      </c>
      <c r="G296" t="inlineStr">
        <is>
          <t>ULRICEHAMN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46271</v>
      </c>
      <c r="F297" t="inlineStr">
        <is>
          <t>VÄSTRA GÖTALANDS LÄN</t>
        </is>
      </c>
      <c r="G297" t="inlineStr">
        <is>
          <t>ULRICEHAMN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74199-2021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44558</v>
      </c>
      <c r="E298" s="1" t="n">
        <v>46271</v>
      </c>
      <c r="F298" t="inlineStr">
        <is>
          <t>VÄSTRA GÖTALANDS LÄN</t>
        </is>
      </c>
      <c r="G298" t="inlineStr">
        <is>
          <t>ULRICEHAMN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46271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46271</v>
      </c>
      <c r="F300" t="inlineStr">
        <is>
          <t>VÄSTRA GÖTALANDS LÄN</t>
        </is>
      </c>
      <c r="G300" t="inlineStr">
        <is>
          <t>ULRICEHAMN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46271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46271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46271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46271</v>
      </c>
      <c r="F304" t="inlineStr">
        <is>
          <t>VÄSTRA GÖTALANDS LÄN</t>
        </is>
      </c>
      <c r="G304" t="inlineStr">
        <is>
          <t>ULRICEHAMN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46271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46271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46271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46271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46271</v>
      </c>
      <c r="F309" t="inlineStr">
        <is>
          <t>VÄSTRA GÖTALANDS LÄN</t>
        </is>
      </c>
      <c r="G309" t="inlineStr">
        <is>
          <t>ULRICEHAMN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46271</v>
      </c>
      <c r="F310" t="inlineStr">
        <is>
          <t>VÄSTRA GÖTALANDS LÄN</t>
        </is>
      </c>
      <c r="G310" t="inlineStr">
        <is>
          <t>ULRICEHAMN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46271</v>
      </c>
      <c r="F311" t="inlineStr">
        <is>
          <t>VÄSTRA GÖTALANDS LÄN</t>
        </is>
      </c>
      <c r="G311" t="inlineStr">
        <is>
          <t>ULRICEHAMN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46271</v>
      </c>
      <c r="F312" t="inlineStr">
        <is>
          <t>VÄSTRA GÖTALANDS LÄN</t>
        </is>
      </c>
      <c r="G312" t="inlineStr">
        <is>
          <t>ULRICEHAMN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45866</v>
      </c>
      <c r="E313" s="1" t="n">
        <v>46271</v>
      </c>
      <c r="F313" t="inlineStr">
        <is>
          <t>VÄSTRA GÖTALANDS LÄN</t>
        </is>
      </c>
      <c r="G313" t="inlineStr">
        <is>
          <t>ULRICEHAMN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46271</v>
      </c>
      <c r="F314" t="inlineStr">
        <is>
          <t>VÄSTRA GÖTALANDS LÄN</t>
        </is>
      </c>
      <c r="G314" t="inlineStr">
        <is>
          <t>ULRICEHAMN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46271</v>
      </c>
      <c r="F315" t="inlineStr">
        <is>
          <t>VÄSTRA GÖTALANDS LÄN</t>
        </is>
      </c>
      <c r="G315" t="inlineStr">
        <is>
          <t>ULRICEHAMN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46271</v>
      </c>
      <c r="F316" t="inlineStr">
        <is>
          <t>VÄSTRA GÖTALANDS LÄN</t>
        </is>
      </c>
      <c r="G316" t="inlineStr">
        <is>
          <t>ULRICEHAMN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46271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46271</v>
      </c>
      <c r="F318" t="inlineStr">
        <is>
          <t>VÄSTRA GÖTALANDS LÄN</t>
        </is>
      </c>
      <c r="G318" t="inlineStr">
        <is>
          <t>ULRICEHAMN</t>
        </is>
      </c>
      <c r="H318" t="inlineStr">
        <is>
          <t>Sveaskog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46271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46271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46271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46271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36305-2025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45868</v>
      </c>
      <c r="E323" s="1" t="n">
        <v>46271</v>
      </c>
      <c r="F323" t="inlineStr">
        <is>
          <t>VÄSTRA GÖTALANDS LÄN</t>
        </is>
      </c>
      <c r="G323" t="inlineStr">
        <is>
          <t>ULRICEHAMN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46271</v>
      </c>
      <c r="F324" t="inlineStr">
        <is>
          <t>VÄSTRA GÖTALANDS LÄN</t>
        </is>
      </c>
      <c r="G324" t="inlineStr">
        <is>
          <t>ULRICEHAMN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46271</v>
      </c>
      <c r="F325" t="inlineStr">
        <is>
          <t>VÄSTRA GÖTALANDS LÄN</t>
        </is>
      </c>
      <c r="G325" t="inlineStr">
        <is>
          <t>ULRICEHAMN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46271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46271</v>
      </c>
      <c r="F327" t="inlineStr">
        <is>
          <t>VÄSTRA GÖTALANDS LÄN</t>
        </is>
      </c>
      <c r="G327" t="inlineStr">
        <is>
          <t>ULRICEHAMN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46271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46271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7094-2024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45343</v>
      </c>
      <c r="E330" s="1" t="n">
        <v>46271</v>
      </c>
      <c r="F330" t="inlineStr">
        <is>
          <t>VÄSTRA GÖTALANDS LÄN</t>
        </is>
      </c>
      <c r="G330" t="inlineStr">
        <is>
          <t>ULRICEHAMN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46271</v>
      </c>
      <c r="F331" t="inlineStr">
        <is>
          <t>VÄSTRA GÖTALANDS LÄN</t>
        </is>
      </c>
      <c r="G331" t="inlineStr">
        <is>
          <t>ULRICEHAMN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45659</v>
      </c>
      <c r="E332" s="1" t="n">
        <v>46271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46271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45341</v>
      </c>
      <c r="E334" s="1" t="n">
        <v>46271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46271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46271</v>
      </c>
      <c r="F336" t="inlineStr">
        <is>
          <t>VÄSTRA GÖTALANDS LÄN</t>
        </is>
      </c>
      <c r="G336" t="inlineStr">
        <is>
          <t>ULRICEHAMN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37560-2025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45880</v>
      </c>
      <c r="E337" s="1" t="n">
        <v>46271</v>
      </c>
      <c r="F337" t="inlineStr">
        <is>
          <t>VÄSTRA GÖTALANDS LÄN</t>
        </is>
      </c>
      <c r="G337" t="inlineStr">
        <is>
          <t>ULRICEHAMN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46271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Sveaskog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46271</v>
      </c>
      <c r="F339" t="inlineStr">
        <is>
          <t>VÄSTRA GÖTALANDS LÄN</t>
        </is>
      </c>
      <c r="G339" t="inlineStr">
        <is>
          <t>ULRICEHAMN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46271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46271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46271</v>
      </c>
      <c r="F342" t="inlineStr">
        <is>
          <t>VÄSTRA GÖTALANDS LÄN</t>
        </is>
      </c>
      <c r="G342" t="inlineStr">
        <is>
          <t>ULRICEHAMN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46271</v>
      </c>
      <c r="F343" t="inlineStr">
        <is>
          <t>VÄSTRA GÖTALANDS LÄN</t>
        </is>
      </c>
      <c r="G343" t="inlineStr">
        <is>
          <t>ULRICEHAMN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46271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46271</v>
      </c>
      <c r="F345" t="inlineStr">
        <is>
          <t>VÄSTRA GÖTALANDS LÄN</t>
        </is>
      </c>
      <c r="G345" t="inlineStr">
        <is>
          <t>ULRICEHAMN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46271</v>
      </c>
      <c r="F346" t="inlineStr">
        <is>
          <t>VÄSTRA GÖTALANDS LÄN</t>
        </is>
      </c>
      <c r="G346" t="inlineStr">
        <is>
          <t>ULRICEHAMN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45427</v>
      </c>
      <c r="E347" s="1" t="n">
        <v>46271</v>
      </c>
      <c r="F347" t="inlineStr">
        <is>
          <t>VÄSTRA GÖTALANDS LÄN</t>
        </is>
      </c>
      <c r="G347" t="inlineStr">
        <is>
          <t>ULRICEHAMN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46271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46271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Kyrkan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46271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46271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46271</v>
      </c>
      <c r="F352" t="inlineStr">
        <is>
          <t>VÄSTRA GÖTALANDS LÄN</t>
        </is>
      </c>
      <c r="G352" t="inlineStr">
        <is>
          <t>ULRICEHAMN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46271</v>
      </c>
      <c r="F353" t="inlineStr">
        <is>
          <t>VÄSTRA GÖTALANDS LÄN</t>
        </is>
      </c>
      <c r="G353" t="inlineStr">
        <is>
          <t>ULRICEHAMN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46271</v>
      </c>
      <c r="F354" t="inlineStr">
        <is>
          <t>VÄSTRA GÖTALANDS LÄN</t>
        </is>
      </c>
      <c r="G354" t="inlineStr">
        <is>
          <t>ULRICEHAMN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46271</v>
      </c>
      <c r="F355" t="inlineStr">
        <is>
          <t>VÄSTRA GÖTALANDS LÄN</t>
        </is>
      </c>
      <c r="G355" t="inlineStr">
        <is>
          <t>ULRICEHAMN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46271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Kommuner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44638</v>
      </c>
      <c r="E357" s="1" t="n">
        <v>46271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Kommuner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46271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46271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45354</v>
      </c>
      <c r="E360" s="1" t="n">
        <v>46271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54405-2023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46271</v>
      </c>
      <c r="F361" t="inlineStr">
        <is>
          <t>VÄSTRA GÖTALANDS LÄN</t>
        </is>
      </c>
      <c r="G361" t="inlineStr">
        <is>
          <t>ULRICEHAMN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46271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46271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46271</v>
      </c>
      <c r="F364" t="inlineStr">
        <is>
          <t>VÄSTRA GÖTALANDS LÄN</t>
        </is>
      </c>
      <c r="G364" t="inlineStr">
        <is>
          <t>ULRICEHAMN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46271</v>
      </c>
      <c r="F365" t="inlineStr">
        <is>
          <t>VÄSTRA GÖTALANDS LÄN</t>
        </is>
      </c>
      <c r="G365" t="inlineStr">
        <is>
          <t>ULRICEHAMN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46271</v>
      </c>
      <c r="F366" t="inlineStr">
        <is>
          <t>VÄSTRA GÖTALANDS LÄN</t>
        </is>
      </c>
      <c r="G366" t="inlineStr">
        <is>
          <t>ULRICEHAMN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46271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46271</v>
      </c>
      <c r="F368" t="inlineStr">
        <is>
          <t>VÄSTRA GÖTALANDS LÄN</t>
        </is>
      </c>
      <c r="G368" t="inlineStr">
        <is>
          <t>ULRICEHAMN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46271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46271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46271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45244</v>
      </c>
      <c r="E372" s="1" t="n">
        <v>46271</v>
      </c>
      <c r="F372" t="inlineStr">
        <is>
          <t>VÄSTRA GÖTALANDS LÄN</t>
        </is>
      </c>
      <c r="G372" t="inlineStr">
        <is>
          <t>ULRICEHAMN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46271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46062</v>
      </c>
      <c r="E374" s="1" t="n">
        <v>46271</v>
      </c>
      <c r="F374" t="inlineStr">
        <is>
          <t>VÄSTRA GÖTALANDS LÄN</t>
        </is>
      </c>
      <c r="G374" t="inlineStr">
        <is>
          <t>ULRICEHAMN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46271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46271</v>
      </c>
      <c r="F376" t="inlineStr">
        <is>
          <t>VÄSTRA GÖTALANDS LÄN</t>
        </is>
      </c>
      <c r="G376" t="inlineStr">
        <is>
          <t>ULRICEHAMN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46271</v>
      </c>
      <c r="F377" t="inlineStr">
        <is>
          <t>VÄSTRA GÖTALANDS LÄN</t>
        </is>
      </c>
      <c r="G377" t="inlineStr">
        <is>
          <t>ULRICEHAMN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46271</v>
      </c>
      <c r="F378" t="inlineStr">
        <is>
          <t>VÄSTRA GÖTALANDS LÄN</t>
        </is>
      </c>
      <c r="G378" t="inlineStr">
        <is>
          <t>ULRICEHAMN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46271</v>
      </c>
      <c r="F379" t="inlineStr">
        <is>
          <t>VÄSTRA GÖTALANDS LÄN</t>
        </is>
      </c>
      <c r="G379" t="inlineStr">
        <is>
          <t>ULRICEHAMN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46271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46271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46271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45075</v>
      </c>
      <c r="E383" s="1" t="n">
        <v>46271</v>
      </c>
      <c r="F383" t="inlineStr">
        <is>
          <t>VÄSTRA GÖTALANDS LÄN</t>
        </is>
      </c>
      <c r="G383" t="inlineStr">
        <is>
          <t>ULRICEHAMN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46271</v>
      </c>
      <c r="F384" t="inlineStr">
        <is>
          <t>VÄSTRA GÖTALANDS LÄN</t>
        </is>
      </c>
      <c r="G384" t="inlineStr">
        <is>
          <t>ULRICEHAMN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46271</v>
      </c>
      <c r="F385" t="inlineStr">
        <is>
          <t>VÄSTRA GÖTALANDS LÄN</t>
        </is>
      </c>
      <c r="G385" t="inlineStr">
        <is>
          <t>ULRICEHAMN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46271</v>
      </c>
      <c r="F386" t="inlineStr">
        <is>
          <t>VÄSTRA GÖTALANDS LÄN</t>
        </is>
      </c>
      <c r="G386" t="inlineStr">
        <is>
          <t>ULRICEHAMN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46271</v>
      </c>
      <c r="F387" t="inlineStr">
        <is>
          <t>VÄSTRA GÖTALANDS LÄN</t>
        </is>
      </c>
      <c r="G387" t="inlineStr">
        <is>
          <t>ULRICEHAMN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26248-2023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45091</v>
      </c>
      <c r="E388" s="1" t="n">
        <v>46271</v>
      </c>
      <c r="F388" t="inlineStr">
        <is>
          <t>VÄSTRA GÖTALANDS LÄN</t>
        </is>
      </c>
      <c r="G388" t="inlineStr">
        <is>
          <t>ULRICEHAMN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45320</v>
      </c>
      <c r="E389" s="1" t="n">
        <v>46271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45134</v>
      </c>
      <c r="E390" s="1" t="n">
        <v>46271</v>
      </c>
      <c r="F390" t="inlineStr">
        <is>
          <t>VÄSTRA GÖTALANDS LÄN</t>
        </is>
      </c>
      <c r="G390" t="inlineStr">
        <is>
          <t>ULRICEHAMN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46271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46271</v>
      </c>
      <c r="F392" t="inlineStr">
        <is>
          <t>VÄSTRA GÖTALANDS LÄN</t>
        </is>
      </c>
      <c r="G392" t="inlineStr">
        <is>
          <t>ULRICEHAMN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46271</v>
      </c>
      <c r="F393" t="inlineStr">
        <is>
          <t>VÄSTRA GÖTALANDS LÄN</t>
        </is>
      </c>
      <c r="G393" t="inlineStr">
        <is>
          <t>ULRICEHAMN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60562-2022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46271</v>
      </c>
      <c r="F394" t="inlineStr">
        <is>
          <t>VÄSTRA GÖTALANDS LÄN</t>
        </is>
      </c>
      <c r="G394" t="inlineStr">
        <is>
          <t>ULRICEHAMN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44908</v>
      </c>
      <c r="E395" s="1" t="n">
        <v>46271</v>
      </c>
      <c r="F395" t="inlineStr">
        <is>
          <t>VÄSTRA GÖTALANDS LÄN</t>
        </is>
      </c>
      <c r="G395" t="inlineStr">
        <is>
          <t>ULRICEHAMN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46271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46271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10431-2026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46077</v>
      </c>
      <c r="E398" s="1" t="n">
        <v>46271</v>
      </c>
      <c r="F398" t="inlineStr">
        <is>
          <t>VÄSTRA GÖTALANDS LÄN</t>
        </is>
      </c>
      <c r="G398" t="inlineStr">
        <is>
          <t>ULRICEHAMN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46271</v>
      </c>
      <c r="F399" t="inlineStr">
        <is>
          <t>VÄSTRA GÖTALANDS LÄN</t>
        </is>
      </c>
      <c r="G399" t="inlineStr">
        <is>
          <t>ULRICEHAMN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45629</v>
      </c>
      <c r="E400" s="1" t="n">
        <v>46271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46271</v>
      </c>
      <c r="F401" t="inlineStr">
        <is>
          <t>VÄSTRA GÖTALANDS LÄN</t>
        </is>
      </c>
      <c r="G401" t="inlineStr">
        <is>
          <t>ULRICEHAMN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46271</v>
      </c>
      <c r="F402" t="inlineStr">
        <is>
          <t>VÄSTRA GÖTALANDS LÄN</t>
        </is>
      </c>
      <c r="G402" t="inlineStr">
        <is>
          <t>ULRICEHAMN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46271</v>
      </c>
      <c r="F403" t="inlineStr">
        <is>
          <t>VÄSTRA GÖTALANDS LÄN</t>
        </is>
      </c>
      <c r="G403" t="inlineStr">
        <is>
          <t>ULRICEHAMN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46271</v>
      </c>
      <c r="F404" t="inlineStr">
        <is>
          <t>VÄSTRA GÖTALANDS LÄN</t>
        </is>
      </c>
      <c r="G404" t="inlineStr">
        <is>
          <t>ULRICEHAMN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46271</v>
      </c>
      <c r="F405" t="inlineStr">
        <is>
          <t>VÄSTRA GÖTALANDS LÄN</t>
        </is>
      </c>
      <c r="G405" t="inlineStr">
        <is>
          <t>ULRICEHAMN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45411</v>
      </c>
      <c r="E406" s="1" t="n">
        <v>46271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46271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44656</v>
      </c>
      <c r="E408" s="1" t="n">
        <v>46271</v>
      </c>
      <c r="F408" t="inlineStr">
        <is>
          <t>VÄSTRA GÖTALANDS LÄN</t>
        </is>
      </c>
      <c r="G408" t="inlineStr">
        <is>
          <t>ULRICEHAMN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46271</v>
      </c>
      <c r="F409" t="inlineStr">
        <is>
          <t>VÄSTRA GÖTALANDS LÄN</t>
        </is>
      </c>
      <c r="G409" t="inlineStr">
        <is>
          <t>ULRICEHAMN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46271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46271</v>
      </c>
      <c r="F411" t="inlineStr">
        <is>
          <t>VÄSTRA GÖTALANDS LÄN</t>
        </is>
      </c>
      <c r="G411" t="inlineStr">
        <is>
          <t>ULRICEHAMN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46271</v>
      </c>
      <c r="F412" t="inlineStr">
        <is>
          <t>VÄSTRA GÖTALANDS LÄN</t>
        </is>
      </c>
      <c r="G412" t="inlineStr">
        <is>
          <t>ULRICEHAMN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46271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46271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44881</v>
      </c>
      <c r="E415" s="1" t="n">
        <v>46271</v>
      </c>
      <c r="F415" t="inlineStr">
        <is>
          <t>VÄSTRA GÖTALANDS LÄN</t>
        </is>
      </c>
      <c r="G415" t="inlineStr">
        <is>
          <t>ULRICEHAMN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46271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46271</v>
      </c>
      <c r="F417" t="inlineStr">
        <is>
          <t>VÄSTRA GÖTALANDS LÄN</t>
        </is>
      </c>
      <c r="G417" t="inlineStr">
        <is>
          <t>ULRICEHAMN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46271</v>
      </c>
      <c r="F418" t="inlineStr">
        <is>
          <t>VÄSTRA GÖTALANDS LÄN</t>
        </is>
      </c>
      <c r="G418" t="inlineStr">
        <is>
          <t>ULRICEHAMN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46271</v>
      </c>
      <c r="F419" t="inlineStr">
        <is>
          <t>VÄSTRA GÖTALANDS LÄN</t>
        </is>
      </c>
      <c r="G419" t="inlineStr">
        <is>
          <t>ULRICEHAMN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60704-2025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45996</v>
      </c>
      <c r="E420" s="1" t="n">
        <v>46271</v>
      </c>
      <c r="F420" t="inlineStr">
        <is>
          <t>VÄSTRA GÖTALANDS LÄN</t>
        </is>
      </c>
      <c r="G420" t="inlineStr">
        <is>
          <t>ULRICEHAMN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46271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45104</v>
      </c>
      <c r="E422" s="1" t="n">
        <v>46271</v>
      </c>
      <c r="F422" t="inlineStr">
        <is>
          <t>VÄSTRA GÖTALANDS LÄN</t>
        </is>
      </c>
      <c r="G422" t="inlineStr">
        <is>
          <t>ULRICEHAMN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46271</v>
      </c>
      <c r="F423" t="inlineStr">
        <is>
          <t>VÄSTRA GÖTALANDS LÄN</t>
        </is>
      </c>
      <c r="G423" t="inlineStr">
        <is>
          <t>ULRICEHAMN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64998-2021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44514</v>
      </c>
      <c r="E424" s="1" t="n">
        <v>46271</v>
      </c>
      <c r="F424" t="inlineStr">
        <is>
          <t>VÄSTRA GÖTALANDS LÄN</t>
        </is>
      </c>
      <c r="G424" t="inlineStr">
        <is>
          <t>ULRICEHAMN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46001</v>
      </c>
      <c r="E425" s="1" t="n">
        <v>46271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46271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46271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45677</v>
      </c>
      <c r="E428" s="1" t="n">
        <v>46271</v>
      </c>
      <c r="F428" t="inlineStr">
        <is>
          <t>VÄSTRA GÖTALANDS LÄN</t>
        </is>
      </c>
      <c r="G428" t="inlineStr">
        <is>
          <t>ULRICEHAMN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45087</v>
      </c>
      <c r="E429" s="1" t="n">
        <v>46271</v>
      </c>
      <c r="F429" t="inlineStr">
        <is>
          <t>VÄSTRA GÖTALANDS LÄN</t>
        </is>
      </c>
      <c r="G429" t="inlineStr">
        <is>
          <t>ULRICEHAMN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46271</v>
      </c>
      <c r="F430" t="inlineStr">
        <is>
          <t>VÄSTRA GÖTALANDS LÄN</t>
        </is>
      </c>
      <c r="G430" t="inlineStr">
        <is>
          <t>ULRICEHAMN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45578</v>
      </c>
      <c r="E431" s="1" t="n">
        <v>46271</v>
      </c>
      <c r="F431" t="inlineStr">
        <is>
          <t>VÄSTRA GÖTALANDS LÄN</t>
        </is>
      </c>
      <c r="G431" t="inlineStr">
        <is>
          <t>ULRICEHAMN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46271</v>
      </c>
      <c r="F432" t="inlineStr">
        <is>
          <t>VÄSTRA GÖTALANDS LÄN</t>
        </is>
      </c>
      <c r="G432" t="inlineStr">
        <is>
          <t>ULRICEHAMN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46271</v>
      </c>
      <c r="F433" t="inlineStr">
        <is>
          <t>VÄSTRA GÖTALANDS LÄN</t>
        </is>
      </c>
      <c r="G433" t="inlineStr">
        <is>
          <t>ULRICEHAMN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45344</v>
      </c>
      <c r="E434" s="1" t="n">
        <v>46271</v>
      </c>
      <c r="F434" t="inlineStr">
        <is>
          <t>VÄSTRA GÖTALANDS LÄN</t>
        </is>
      </c>
      <c r="G434" t="inlineStr">
        <is>
          <t>ULRICEHAMN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44678</v>
      </c>
      <c r="E435" s="1" t="n">
        <v>46271</v>
      </c>
      <c r="F435" t="inlineStr">
        <is>
          <t>VÄSTRA GÖTALANDS LÄN</t>
        </is>
      </c>
      <c r="G435" t="inlineStr">
        <is>
          <t>ULRICEHAMN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46271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46271</v>
      </c>
      <c r="F437" t="inlineStr">
        <is>
          <t>VÄSTRA GÖTALANDS LÄN</t>
        </is>
      </c>
      <c r="G437" t="inlineStr">
        <is>
          <t>ULRICEHAMN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45086</v>
      </c>
      <c r="E438" s="1" t="n">
        <v>46271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46271</v>
      </c>
      <c r="F439" t="inlineStr">
        <is>
          <t>VÄSTRA GÖTALANDS LÄN</t>
        </is>
      </c>
      <c r="G439" t="inlineStr">
        <is>
          <t>ULRICEHAMN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46271</v>
      </c>
      <c r="F440" t="inlineStr">
        <is>
          <t>VÄSTRA GÖTALANDS LÄN</t>
        </is>
      </c>
      <c r="G440" t="inlineStr">
        <is>
          <t>ULRICEHAMN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45008</v>
      </c>
      <c r="E441" s="1" t="n">
        <v>46271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45153</v>
      </c>
      <c r="E442" s="1" t="n">
        <v>46271</v>
      </c>
      <c r="F442" t="inlineStr">
        <is>
          <t>VÄSTRA GÖTALANDS LÄN</t>
        </is>
      </c>
      <c r="G442" t="inlineStr">
        <is>
          <t>ULRICEHAMN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46271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45691</v>
      </c>
      <c r="E444" s="1" t="n">
        <v>46271</v>
      </c>
      <c r="F444" t="inlineStr">
        <is>
          <t>VÄSTRA GÖTALANDS LÄN</t>
        </is>
      </c>
      <c r="G444" t="inlineStr">
        <is>
          <t>ULRICEHAMN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45698</v>
      </c>
      <c r="E445" s="1" t="n">
        <v>46271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9581-2025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45715</v>
      </c>
      <c r="E446" s="1" t="n">
        <v>46271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Sveaskog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45726</v>
      </c>
      <c r="E447" s="1" t="n">
        <v>46271</v>
      </c>
      <c r="F447" t="inlineStr">
        <is>
          <t>VÄSTRA GÖTALANDS LÄN</t>
        </is>
      </c>
      <c r="G447" t="inlineStr">
        <is>
          <t>ULRICEHAMN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45688</v>
      </c>
      <c r="E448" s="1" t="n">
        <v>46271</v>
      </c>
      <c r="F448" t="inlineStr">
        <is>
          <t>VÄSTRA GÖTALANDS LÄN</t>
        </is>
      </c>
      <c r="G448" t="inlineStr">
        <is>
          <t>ULRICEHAMN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45699</v>
      </c>
      <c r="E449" s="1" t="n">
        <v>46271</v>
      </c>
      <c r="F449" t="inlineStr">
        <is>
          <t>VÄSTRA GÖTALANDS LÄN</t>
        </is>
      </c>
      <c r="G449" t="inlineStr">
        <is>
          <t>ULRICEHAMN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46271</v>
      </c>
      <c r="F450" t="inlineStr">
        <is>
          <t>VÄSTRA GÖTALANDS LÄN</t>
        </is>
      </c>
      <c r="G450" t="inlineStr">
        <is>
          <t>ULRICEHAMN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45701</v>
      </c>
      <c r="E451" s="1" t="n">
        <v>46271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46271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46271</v>
      </c>
      <c r="F453" t="inlineStr">
        <is>
          <t>VÄSTRA GÖTALANDS LÄN</t>
        </is>
      </c>
      <c r="G453" t="inlineStr">
        <is>
          <t>ULRICEHAMN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46271</v>
      </c>
      <c r="F454" t="inlineStr">
        <is>
          <t>VÄSTRA GÖTALANDS LÄN</t>
        </is>
      </c>
      <c r="G454" t="inlineStr">
        <is>
          <t>ULRICEHAMN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45605</v>
      </c>
      <c r="E455" s="1" t="n">
        <v>46271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46271</v>
      </c>
      <c r="F456" t="inlineStr">
        <is>
          <t>VÄSTRA GÖTALANDS LÄN</t>
        </is>
      </c>
      <c r="G456" t="inlineStr">
        <is>
          <t>ULRICEHAMN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46271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46271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44781</v>
      </c>
      <c r="E459" s="1" t="n">
        <v>46271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45626</v>
      </c>
      <c r="E460" s="1" t="n">
        <v>46271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45626</v>
      </c>
      <c r="E461" s="1" t="n">
        <v>46271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45666</v>
      </c>
      <c r="E462" s="1" t="n">
        <v>46271</v>
      </c>
      <c r="F462" t="inlineStr">
        <is>
          <t>VÄSTRA GÖTALANDS LÄN</t>
        </is>
      </c>
      <c r="G462" t="inlineStr">
        <is>
          <t>ULRICEHAMN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46271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46271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46271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46271</v>
      </c>
      <c r="F466" t="inlineStr">
        <is>
          <t>VÄSTRA GÖTALANDS LÄN</t>
        </is>
      </c>
      <c r="G466" t="inlineStr">
        <is>
          <t>ULRICEHAMN</t>
        </is>
      </c>
      <c r="I466" t="n">
        <v>17.6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46271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46271</v>
      </c>
      <c r="F468" t="inlineStr">
        <is>
          <t>VÄSTRA GÖTALANDS LÄN</t>
        </is>
      </c>
      <c r="G468" t="inlineStr">
        <is>
          <t>ULRICEHAMN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46271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46271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46271</v>
      </c>
      <c r="F471" t="inlineStr">
        <is>
          <t>VÄSTRA GÖTALANDS LÄN</t>
        </is>
      </c>
      <c r="G471" t="inlineStr">
        <is>
          <t>ULRICEHAMN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46271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46271</v>
      </c>
      <c r="F473" t="inlineStr">
        <is>
          <t>VÄSTRA GÖTALANDS LÄN</t>
        </is>
      </c>
      <c r="G473" t="inlineStr">
        <is>
          <t>ULRICEHAMN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46271</v>
      </c>
      <c r="F474" t="inlineStr">
        <is>
          <t>VÄSTRA GÖTALANDS LÄN</t>
        </is>
      </c>
      <c r="G474" t="inlineStr">
        <is>
          <t>ULRICEHAMN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45273</v>
      </c>
      <c r="E475" s="1" t="n">
        <v>46271</v>
      </c>
      <c r="F475" t="inlineStr">
        <is>
          <t>VÄSTRA GÖTALANDS LÄN</t>
        </is>
      </c>
      <c r="G475" t="inlineStr">
        <is>
          <t>ULRICEHAMN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12552-2022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46271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46271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46271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16657-2026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46271</v>
      </c>
      <c r="F479" t="inlineStr">
        <is>
          <t>VÄSTRA GÖTALANDS LÄN</t>
        </is>
      </c>
      <c r="G479" t="inlineStr">
        <is>
          <t>ULRICEHAMN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46271</v>
      </c>
      <c r="F480" t="inlineStr">
        <is>
          <t>VÄSTRA GÖTALANDS LÄN</t>
        </is>
      </c>
      <c r="G480" t="inlineStr">
        <is>
          <t>ULRICEHAMN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46271</v>
      </c>
      <c r="F481" t="inlineStr">
        <is>
          <t>VÄSTRA GÖTALANDS LÄN</t>
        </is>
      </c>
      <c r="G481" t="inlineStr">
        <is>
          <t>ULRICEHAMN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46114</v>
      </c>
      <c r="E482" s="1" t="n">
        <v>46271</v>
      </c>
      <c r="F482" t="inlineStr">
        <is>
          <t>VÄSTRA GÖTALANDS LÄN</t>
        </is>
      </c>
      <c r="G482" t="inlineStr">
        <is>
          <t>ULRICEHAMN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45698</v>
      </c>
      <c r="E483" s="1" t="n">
        <v>46271</v>
      </c>
      <c r="F483" t="inlineStr">
        <is>
          <t>VÄSTRA GÖTALANDS LÄN</t>
        </is>
      </c>
      <c r="G483" t="inlineStr">
        <is>
          <t>ULRICEHAMN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46118</v>
      </c>
      <c r="E484" s="1" t="n">
        <v>46271</v>
      </c>
      <c r="F484" t="inlineStr">
        <is>
          <t>VÄSTRA GÖTALANDS LÄN</t>
        </is>
      </c>
      <c r="G484" t="inlineStr">
        <is>
          <t>ULRICEHAMN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46271</v>
      </c>
      <c r="F485" t="inlineStr">
        <is>
          <t>VÄSTRA GÖTALANDS LÄN</t>
        </is>
      </c>
      <c r="G485" t="inlineStr">
        <is>
          <t>ULRICEHAMN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45223</v>
      </c>
      <c r="E486" s="1" t="n">
        <v>46271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46271</v>
      </c>
      <c r="F487" t="inlineStr">
        <is>
          <t>VÄSTRA GÖTALANDS LÄN</t>
        </is>
      </c>
      <c r="G487" t="inlineStr">
        <is>
          <t>ULRICEHAMN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46271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46271</v>
      </c>
      <c r="F489" t="inlineStr">
        <is>
          <t>VÄSTRA GÖTALANDS LÄN</t>
        </is>
      </c>
      <c r="G489" t="inlineStr">
        <is>
          <t>ULRICEHAMN</t>
        </is>
      </c>
      <c r="H489" t="inlineStr">
        <is>
          <t>Kommuner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45626</v>
      </c>
      <c r="E490" s="1" t="n">
        <v>46271</v>
      </c>
      <c r="F490" t="inlineStr">
        <is>
          <t>VÄSTRA GÖTALANDS LÄN</t>
        </is>
      </c>
      <c r="G490" t="inlineStr">
        <is>
          <t>ULRICEHAMN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46125</v>
      </c>
      <c r="E491" s="1" t="n">
        <v>46271</v>
      </c>
      <c r="F491" t="inlineStr">
        <is>
          <t>VÄSTRA GÖTALANDS LÄN</t>
        </is>
      </c>
      <c r="G491" t="inlineStr">
        <is>
          <t>ULRICEHAMN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46271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18745-2026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46128</v>
      </c>
      <c r="E493" s="1" t="n">
        <v>46271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Kyrkan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46271</v>
      </c>
      <c r="F494" t="inlineStr">
        <is>
          <t>VÄSTRA GÖTALANDS LÄN</t>
        </is>
      </c>
      <c r="G494" t="inlineStr">
        <is>
          <t>ULRICEHAMN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46271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46271</v>
      </c>
      <c r="F496" t="inlineStr">
        <is>
          <t>VÄSTRA GÖTALANDS LÄN</t>
        </is>
      </c>
      <c r="G496" t="inlineStr">
        <is>
          <t>ULRICEHAMN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45398</v>
      </c>
      <c r="E497" s="1" t="n">
        <v>46271</v>
      </c>
      <c r="F497" t="inlineStr">
        <is>
          <t>VÄSTRA GÖTALANDS LÄN</t>
        </is>
      </c>
      <c r="G497" t="inlineStr">
        <is>
          <t>ULRICEHAMN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46271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65400-2021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46271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45199</v>
      </c>
      <c r="E500" s="1" t="n">
        <v>46271</v>
      </c>
      <c r="F500" t="inlineStr">
        <is>
          <t>VÄSTRA GÖTALANDS LÄN</t>
        </is>
      </c>
      <c r="G500" t="inlineStr">
        <is>
          <t>ULRICEHAMN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22480-2023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45071</v>
      </c>
      <c r="E501" s="1" t="n">
        <v>46271</v>
      </c>
      <c r="F501" t="inlineStr">
        <is>
          <t>VÄSTRA GÖTALANDS LÄN</t>
        </is>
      </c>
      <c r="G501" t="inlineStr">
        <is>
          <t>ULRICEHAMN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45427</v>
      </c>
      <c r="E502" s="1" t="n">
        <v>46271</v>
      </c>
      <c r="F502" t="inlineStr">
        <is>
          <t>VÄSTRA GÖTALANDS LÄN</t>
        </is>
      </c>
      <c r="G502" t="inlineStr">
        <is>
          <t>ULRICEHAMN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46271</v>
      </c>
      <c r="F503" t="inlineStr">
        <is>
          <t>VÄSTRA GÖTALANDS LÄN</t>
        </is>
      </c>
      <c r="G503" t="inlineStr">
        <is>
          <t>ULRICEHAMN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44830</v>
      </c>
      <c r="E504" s="1" t="n">
        <v>46271</v>
      </c>
      <c r="F504" t="inlineStr">
        <is>
          <t>VÄSTRA GÖTALANDS LÄN</t>
        </is>
      </c>
      <c r="G504" t="inlineStr">
        <is>
          <t>ULRICEHAMN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46271</v>
      </c>
      <c r="F505" t="inlineStr">
        <is>
          <t>VÄSTRA GÖTALANDS LÄN</t>
        </is>
      </c>
      <c r="G505" t="inlineStr">
        <is>
          <t>ULRICEHAMN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45947</v>
      </c>
      <c r="E506" s="1" t="n">
        <v>46271</v>
      </c>
      <c r="F506" t="inlineStr">
        <is>
          <t>VÄSTRA GÖTALANDS LÄN</t>
        </is>
      </c>
      <c r="G506" t="inlineStr">
        <is>
          <t>ULRICEHAMN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45558</v>
      </c>
      <c r="E507" s="1" t="n">
        <v>46271</v>
      </c>
      <c r="F507" t="inlineStr">
        <is>
          <t>VÄSTRA GÖTALANDS LÄN</t>
        </is>
      </c>
      <c r="G507" t="inlineStr">
        <is>
          <t>ULRICEHAMN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44965</v>
      </c>
      <c r="E508" s="1" t="n">
        <v>46271</v>
      </c>
      <c r="F508" t="inlineStr">
        <is>
          <t>VÄSTRA GÖTALANDS LÄN</t>
        </is>
      </c>
      <c r="G508" t="inlineStr">
        <is>
          <t>ULRICEHAMN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46271</v>
      </c>
      <c r="F509" t="inlineStr">
        <is>
          <t>VÄSTRA GÖTALANDS LÄN</t>
        </is>
      </c>
      <c r="G509" t="inlineStr">
        <is>
          <t>ULRICEHAMN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46271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64282-2023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45280</v>
      </c>
      <c r="E511" s="1" t="n">
        <v>46271</v>
      </c>
      <c r="F511" t="inlineStr">
        <is>
          <t>VÄSTRA GÖTALANDS LÄN</t>
        </is>
      </c>
      <c r="G511" t="inlineStr">
        <is>
          <t>ULRICEHAMN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30912-2024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45498</v>
      </c>
      <c r="E512" s="1" t="n">
        <v>46271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Kyrkan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46493-2023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45197</v>
      </c>
      <c r="E513" s="1" t="n">
        <v>46271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46271</v>
      </c>
      <c r="F514" t="inlineStr">
        <is>
          <t>VÄSTRA GÖTALANDS LÄN</t>
        </is>
      </c>
      <c r="G514" t="inlineStr">
        <is>
          <t>ULRICEHAMN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45357</v>
      </c>
      <c r="E515" s="1" t="n">
        <v>46271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46271</v>
      </c>
      <c r="F516" t="inlineStr">
        <is>
          <t>VÄSTRA GÖTALANDS LÄN</t>
        </is>
      </c>
      <c r="G516" t="inlineStr">
        <is>
          <t>ULRICEHAMN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46271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46271</v>
      </c>
      <c r="F518" t="inlineStr">
        <is>
          <t>VÄSTRA GÖTALANDS LÄN</t>
        </is>
      </c>
      <c r="G518" t="inlineStr">
        <is>
          <t>ULRICEHAMN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45163</v>
      </c>
      <c r="E519" s="1" t="n">
        <v>46271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69114-2021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44530</v>
      </c>
      <c r="E520" s="1" t="n">
        <v>46271</v>
      </c>
      <c r="F520" t="inlineStr">
        <is>
          <t>VÄSTRA GÖTALANDS LÄN</t>
        </is>
      </c>
      <c r="G520" t="inlineStr">
        <is>
          <t>ULRICEHAMN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46271</v>
      </c>
      <c r="F521" t="inlineStr">
        <is>
          <t>VÄSTRA GÖTALANDS LÄN</t>
        </is>
      </c>
      <c r="G521" t="inlineStr">
        <is>
          <t>ULRICEHAMN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46271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46271</v>
      </c>
      <c r="F523" t="inlineStr">
        <is>
          <t>VÄSTRA GÖTALANDS LÄN</t>
        </is>
      </c>
      <c r="G523" t="inlineStr">
        <is>
          <t>ULRICEHAMN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45835</v>
      </c>
      <c r="E524" s="1" t="n">
        <v>46271</v>
      </c>
      <c r="F524" t="inlineStr">
        <is>
          <t>VÄSTRA GÖTALANDS LÄN</t>
        </is>
      </c>
      <c r="G524" t="inlineStr">
        <is>
          <t>ULRICEHAMN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46271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46271</v>
      </c>
      <c r="F526" t="inlineStr">
        <is>
          <t>VÄSTRA GÖTALANDS LÄN</t>
        </is>
      </c>
      <c r="G526" t="inlineStr">
        <is>
          <t>ULRICEHAMN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46271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45826</v>
      </c>
      <c r="E528" s="1" t="n">
        <v>46271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46271</v>
      </c>
      <c r="F529" t="inlineStr">
        <is>
          <t>VÄSTRA GÖTALANDS LÄN</t>
        </is>
      </c>
      <c r="G529" t="inlineStr">
        <is>
          <t>ULRICEHAMN</t>
        </is>
      </c>
      <c r="I529" t="n">
        <v>14.7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44971</v>
      </c>
      <c r="E530" s="1" t="n">
        <v>46271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50500-2024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46271</v>
      </c>
      <c r="F531" t="inlineStr">
        <is>
          <t>VÄSTRA GÖTALANDS LÄN</t>
        </is>
      </c>
      <c r="G531" t="inlineStr">
        <is>
          <t>ULRICEHAMN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44685</v>
      </c>
      <c r="E532" s="1" t="n">
        <v>46271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45538</v>
      </c>
      <c r="E533" s="1" t="n">
        <v>46271</v>
      </c>
      <c r="F533" t="inlineStr">
        <is>
          <t>VÄSTRA GÖTALANDS LÄN</t>
        </is>
      </c>
      <c r="G533" t="inlineStr">
        <is>
          <t>ULRICEHAMN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46271</v>
      </c>
      <c r="F534" t="inlineStr">
        <is>
          <t>VÄSTRA GÖTALANDS LÄN</t>
        </is>
      </c>
      <c r="G534" t="inlineStr">
        <is>
          <t>ULRICEHAMN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45320</v>
      </c>
      <c r="E535" s="1" t="n">
        <v>46271</v>
      </c>
      <c r="F535" t="inlineStr">
        <is>
          <t>VÄSTRA GÖTALANDS LÄN</t>
        </is>
      </c>
      <c r="G535" t="inlineStr">
        <is>
          <t>ULRICEHAMN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46271</v>
      </c>
      <c r="F536" t="inlineStr">
        <is>
          <t>VÄSTRA GÖTALANDS LÄN</t>
        </is>
      </c>
      <c r="G536" t="inlineStr">
        <is>
          <t>ULRICEHAMN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46271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46271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46271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46271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45671</v>
      </c>
      <c r="E541" s="1" t="n">
        <v>46271</v>
      </c>
      <c r="F541" t="inlineStr">
        <is>
          <t>VÄSTRA GÖTALANDS LÄN</t>
        </is>
      </c>
      <c r="G541" t="inlineStr">
        <is>
          <t>ULRICEHAMN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46271</v>
      </c>
      <c r="F542" t="inlineStr">
        <is>
          <t>VÄSTRA GÖTALANDS LÄN</t>
        </is>
      </c>
      <c r="G542" t="inlineStr">
        <is>
          <t>ULRICEHAMN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45484</v>
      </c>
      <c r="E543" s="1" t="n">
        <v>46271</v>
      </c>
      <c r="F543" t="inlineStr">
        <is>
          <t>VÄSTRA GÖTALANDS LÄN</t>
        </is>
      </c>
      <c r="G543" t="inlineStr">
        <is>
          <t>ULRICEHAMN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46271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45225</v>
      </c>
      <c r="E545" s="1" t="n">
        <v>46271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45625</v>
      </c>
      <c r="E546" s="1" t="n">
        <v>46271</v>
      </c>
      <c r="F546" t="inlineStr">
        <is>
          <t>VÄSTRA GÖTALANDS LÄN</t>
        </is>
      </c>
      <c r="G546" t="inlineStr">
        <is>
          <t>ULRICEHAMN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46271</v>
      </c>
      <c r="F547" t="inlineStr">
        <is>
          <t>VÄSTRA GÖTALANDS LÄN</t>
        </is>
      </c>
      <c r="G547" t="inlineStr">
        <is>
          <t>ULRICEHAMN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45140</v>
      </c>
      <c r="E548" s="1" t="n">
        <v>46271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46271</v>
      </c>
      <c r="F549" t="inlineStr">
        <is>
          <t>VÄSTRA GÖTALANDS LÄN</t>
        </is>
      </c>
      <c r="G549" t="inlineStr">
        <is>
          <t>ULRICEHAMN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39464-2023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45166</v>
      </c>
      <c r="E550" s="1" t="n">
        <v>46271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46271</v>
      </c>
      <c r="F551" t="inlineStr">
        <is>
          <t>VÄSTRA GÖTALANDS LÄN</t>
        </is>
      </c>
      <c r="G551" t="inlineStr">
        <is>
          <t>ULRICEHAMN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46271</v>
      </c>
      <c r="F552" t="inlineStr">
        <is>
          <t>VÄSTRA GÖTALANDS LÄN</t>
        </is>
      </c>
      <c r="G552" t="inlineStr">
        <is>
          <t>ULRICEHAMN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44466</v>
      </c>
      <c r="E553" s="1" t="n">
        <v>46271</v>
      </c>
      <c r="F553" t="inlineStr">
        <is>
          <t>VÄSTRA GÖTALANDS LÄN</t>
        </is>
      </c>
      <c r="G553" t="inlineStr">
        <is>
          <t>ULRICEHAMN</t>
        </is>
      </c>
      <c r="I553" t="n">
        <v>11.9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46271</v>
      </c>
      <c r="F554" t="inlineStr">
        <is>
          <t>VÄSTRA GÖTALANDS LÄN</t>
        </is>
      </c>
      <c r="G554" t="inlineStr">
        <is>
          <t>ULRICEHAMN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44959</v>
      </c>
      <c r="E555" s="1" t="n">
        <v>46271</v>
      </c>
      <c r="F555" t="inlineStr">
        <is>
          <t>VÄSTRA GÖTALANDS LÄN</t>
        </is>
      </c>
      <c r="G555" t="inlineStr">
        <is>
          <t>ULRICEHAMN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44882</v>
      </c>
      <c r="E556" s="1" t="n">
        <v>46271</v>
      </c>
      <c r="F556" t="inlineStr">
        <is>
          <t>VÄSTRA GÖTALANDS LÄN</t>
        </is>
      </c>
      <c r="G556" t="inlineStr">
        <is>
          <t>ULRICEHAMN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46150</v>
      </c>
      <c r="E557" s="1" t="n">
        <v>46271</v>
      </c>
      <c r="F557" t="inlineStr">
        <is>
          <t>VÄSTRA GÖTALANDS LÄN</t>
        </is>
      </c>
      <c r="G557" t="inlineStr">
        <is>
          <t>ULRICEHAMN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46271</v>
      </c>
      <c r="F558" t="inlineStr">
        <is>
          <t>VÄSTRA GÖTALANDS LÄN</t>
        </is>
      </c>
      <c r="G558" t="inlineStr">
        <is>
          <t>ULRICEHAMN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44845</v>
      </c>
      <c r="E559" s="1" t="n">
        <v>46271</v>
      </c>
      <c r="F559" t="inlineStr">
        <is>
          <t>VÄSTRA GÖTALANDS LÄN</t>
        </is>
      </c>
      <c r="G559" t="inlineStr">
        <is>
          <t>ULRICEHAMN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6438-2024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46271</v>
      </c>
      <c r="F560" t="inlineStr">
        <is>
          <t>VÄSTRA GÖTALANDS LÄN</t>
        </is>
      </c>
      <c r="G560" t="inlineStr">
        <is>
          <t>ULRICEHAMN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14599-2024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45395</v>
      </c>
      <c r="E561" s="1" t="n">
        <v>46271</v>
      </c>
      <c r="F561" t="inlineStr">
        <is>
          <t>VÄSTRA GÖTALANDS LÄN</t>
        </is>
      </c>
      <c r="G561" t="inlineStr">
        <is>
          <t>ULRICEHAMN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45676</v>
      </c>
      <c r="E562" s="1" t="n">
        <v>46271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53825-2025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45961</v>
      </c>
      <c r="E563" s="1" t="n">
        <v>46271</v>
      </c>
      <c r="F563" t="inlineStr">
        <is>
          <t>VÄSTRA GÖTALANDS LÄN</t>
        </is>
      </c>
      <c r="G563" t="inlineStr">
        <is>
          <t>ULRICEHAMN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45385</v>
      </c>
      <c r="E564" s="1" t="n">
        <v>46271</v>
      </c>
      <c r="F564" t="inlineStr">
        <is>
          <t>VÄSTRA GÖTALANDS LÄN</t>
        </is>
      </c>
      <c r="G564" t="inlineStr">
        <is>
          <t>ULRICEHAMN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45626</v>
      </c>
      <c r="E565" s="1" t="n">
        <v>46271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45626</v>
      </c>
      <c r="E566" s="1" t="n">
        <v>46271</v>
      </c>
      <c r="F566" t="inlineStr">
        <is>
          <t>VÄSTRA GÖTALANDS LÄN</t>
        </is>
      </c>
      <c r="G566" t="inlineStr">
        <is>
          <t>ULRICEHAMN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45626</v>
      </c>
      <c r="E567" s="1" t="n">
        <v>46271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46271</v>
      </c>
      <c r="F568" t="inlineStr">
        <is>
          <t>VÄSTRA GÖTALANDS LÄN</t>
        </is>
      </c>
      <c r="G568" t="inlineStr">
        <is>
          <t>ULRICEHAMN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46271</v>
      </c>
      <c r="F569" t="inlineStr">
        <is>
          <t>VÄSTRA GÖTALANDS LÄN</t>
        </is>
      </c>
      <c r="G569" t="inlineStr">
        <is>
          <t>ULRICEHAMN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45320</v>
      </c>
      <c r="E570" s="1" t="n">
        <v>46271</v>
      </c>
      <c r="F570" t="inlineStr">
        <is>
          <t>VÄSTRA GÖTALANDS LÄN</t>
        </is>
      </c>
      <c r="G570" t="inlineStr">
        <is>
          <t>ULRICEHAMN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46271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46271</v>
      </c>
      <c r="F572" t="inlineStr">
        <is>
          <t>VÄSTRA GÖTALANDS LÄN</t>
        </is>
      </c>
      <c r="G572" t="inlineStr">
        <is>
          <t>ULRICEHAMN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46271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46271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44930-2023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45190</v>
      </c>
      <c r="E575" s="1" t="n">
        <v>46271</v>
      </c>
      <c r="F575" t="inlineStr">
        <is>
          <t>VÄSTRA GÖTALANDS LÄN</t>
        </is>
      </c>
      <c r="G575" t="inlineStr">
        <is>
          <t>ULRICEHAMN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44501</v>
      </c>
      <c r="E576" s="1" t="n">
        <v>46271</v>
      </c>
      <c r="F576" t="inlineStr">
        <is>
          <t>VÄSTRA GÖTALANDS LÄN</t>
        </is>
      </c>
      <c r="G576" t="inlineStr">
        <is>
          <t>ULRICEHAMN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45384</v>
      </c>
      <c r="E577" s="1" t="n">
        <v>46271</v>
      </c>
      <c r="F577" t="inlineStr">
        <is>
          <t>VÄSTRA GÖTALANDS LÄN</t>
        </is>
      </c>
      <c r="G577" t="inlineStr">
        <is>
          <t>ULRICEHAMN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45163</v>
      </c>
      <c r="E578" s="1" t="n">
        <v>46271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49825-2024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46271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42438-2024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45565</v>
      </c>
      <c r="E580" s="1" t="n">
        <v>46271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45225</v>
      </c>
      <c r="E581" s="1" t="n">
        <v>46271</v>
      </c>
      <c r="F581" t="inlineStr">
        <is>
          <t>VÄSTRA GÖTALANDS LÄN</t>
        </is>
      </c>
      <c r="G581" t="inlineStr">
        <is>
          <t>ULRICEHAMN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46271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46271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46271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46271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45008</v>
      </c>
      <c r="E586" s="1" t="n">
        <v>46271</v>
      </c>
      <c r="F586" t="inlineStr">
        <is>
          <t>VÄSTRA GÖTALANDS LÄN</t>
        </is>
      </c>
      <c r="G586" t="inlineStr">
        <is>
          <t>ULRICEHAMN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44763</v>
      </c>
      <c r="E587" s="1" t="n">
        <v>46271</v>
      </c>
      <c r="F587" t="inlineStr">
        <is>
          <t>VÄSTRA GÖTALANDS LÄN</t>
        </is>
      </c>
      <c r="G587" t="inlineStr">
        <is>
          <t>ULRICEHAMN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46271</v>
      </c>
      <c r="F588" t="inlineStr">
        <is>
          <t>VÄSTRA GÖTALANDS LÄN</t>
        </is>
      </c>
      <c r="G588" t="inlineStr">
        <is>
          <t>ULRICEHAMN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46271</v>
      </c>
      <c r="F589" t="inlineStr">
        <is>
          <t>VÄSTRA GÖTALANDS LÄN</t>
        </is>
      </c>
      <c r="G589" t="inlineStr">
        <is>
          <t>ULRICEHAMN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45086</v>
      </c>
      <c r="E590" s="1" t="n">
        <v>46271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46271</v>
      </c>
      <c r="F591" t="inlineStr">
        <is>
          <t>VÄSTRA GÖTALANDS LÄN</t>
        </is>
      </c>
      <c r="G591" t="inlineStr">
        <is>
          <t>ULRICEHAMN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46271</v>
      </c>
      <c r="F592" t="inlineStr">
        <is>
          <t>VÄSTRA GÖTALANDS LÄN</t>
        </is>
      </c>
      <c r="G592" t="inlineStr">
        <is>
          <t>ULRICEHAMN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46271</v>
      </c>
      <c r="F593" t="inlineStr">
        <is>
          <t>VÄSTRA GÖTALANDS LÄN</t>
        </is>
      </c>
      <c r="G593" t="inlineStr">
        <is>
          <t>ULRICEHAMN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45139</v>
      </c>
      <c r="E594" s="1" t="n">
        <v>46271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46271</v>
      </c>
      <c r="F595" t="inlineStr">
        <is>
          <t>VÄSTRA GÖTALANDS LÄN</t>
        </is>
      </c>
      <c r="G595" t="inlineStr">
        <is>
          <t>ULRICEHAMN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19864-2025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45771</v>
      </c>
      <c r="E596" s="1" t="n">
        <v>46271</v>
      </c>
      <c r="F596" t="inlineStr">
        <is>
          <t>VÄSTRA GÖTALANDS LÄN</t>
        </is>
      </c>
      <c r="G596" t="inlineStr">
        <is>
          <t>ULRICEHAMN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46271</v>
      </c>
      <c r="F597" t="inlineStr">
        <is>
          <t>VÄSTRA GÖTALANDS LÄN</t>
        </is>
      </c>
      <c r="G597" t="inlineStr">
        <is>
          <t>ULRICEHAMN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45379</v>
      </c>
      <c r="E598" s="1" t="n">
        <v>46271</v>
      </c>
      <c r="F598" t="inlineStr">
        <is>
          <t>VÄSTRA GÖTALANDS LÄN</t>
        </is>
      </c>
      <c r="G598" t="inlineStr">
        <is>
          <t>ULRICEHAMN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46271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46271</v>
      </c>
      <c r="F600" t="inlineStr">
        <is>
          <t>VÄSTRA GÖTALANDS LÄN</t>
        </is>
      </c>
      <c r="G600" t="inlineStr">
        <is>
          <t>ULRICEHAMN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46271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46271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46271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46271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46271</v>
      </c>
      <c r="F605" t="inlineStr">
        <is>
          <t>VÄSTRA GÖTALANDS LÄN</t>
        </is>
      </c>
      <c r="G605" t="inlineStr">
        <is>
          <t>ULRICEHAMN</t>
        </is>
      </c>
      <c r="H605" t="inlineStr">
        <is>
          <t>Sveaskog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46271</v>
      </c>
      <c r="F606" t="inlineStr">
        <is>
          <t>VÄSTRA GÖTALANDS LÄN</t>
        </is>
      </c>
      <c r="G606" t="inlineStr">
        <is>
          <t>ULRICEHAMN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46271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46271</v>
      </c>
      <c r="F608" t="inlineStr">
        <is>
          <t>VÄSTRA GÖTALANDS LÄN</t>
        </is>
      </c>
      <c r="G608" t="inlineStr">
        <is>
          <t>ULRICEHAMN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46271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48196-2022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44858</v>
      </c>
      <c r="E610" s="1" t="n">
        <v>46271</v>
      </c>
      <c r="F610" t="inlineStr">
        <is>
          <t>VÄSTRA GÖTALANDS LÄN</t>
        </is>
      </c>
      <c r="G610" t="inlineStr">
        <is>
          <t>ULRICEHAMN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45363</v>
      </c>
      <c r="E611" s="1" t="n">
        <v>46271</v>
      </c>
      <c r="F611" t="inlineStr">
        <is>
          <t>VÄSTRA GÖTALANDS LÄN</t>
        </is>
      </c>
      <c r="G611" t="inlineStr">
        <is>
          <t>ULRICEHAMN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31863-2026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46231</v>
      </c>
      <c r="E612" s="1" t="n">
        <v>46271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27399-2024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46271</v>
      </c>
      <c r="F613" t="inlineStr">
        <is>
          <t>VÄSTRA GÖTALANDS LÄN</t>
        </is>
      </c>
      <c r="G613" t="inlineStr">
        <is>
          <t>ULRICEHAMN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45590</v>
      </c>
      <c r="E614" s="1" t="n">
        <v>46271</v>
      </c>
      <c r="F614" t="inlineStr">
        <is>
          <t>VÄSTRA GÖTALANDS LÄN</t>
        </is>
      </c>
      <c r="G614" t="inlineStr">
        <is>
          <t>ULRICEHAMN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44402-2024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46271</v>
      </c>
      <c r="F615" t="inlineStr">
        <is>
          <t>VÄSTRA GÖTALANDS LÄN</t>
        </is>
      </c>
      <c r="G615" t="inlineStr">
        <is>
          <t>ULRICEHAMN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45227</v>
      </c>
      <c r="E616" s="1" t="n">
        <v>46271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45187</v>
      </c>
      <c r="E617" s="1" t="n">
        <v>46271</v>
      </c>
      <c r="F617" t="inlineStr">
        <is>
          <t>VÄSTRA GÖTALANDS LÄN</t>
        </is>
      </c>
      <c r="G617" t="inlineStr">
        <is>
          <t>ULRICEHAMN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59990-2023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46271</v>
      </c>
      <c r="F618" t="inlineStr">
        <is>
          <t>VÄSTRA GÖTALANDS LÄN</t>
        </is>
      </c>
      <c r="G618" t="inlineStr">
        <is>
          <t>ULRICEHAMN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45691</v>
      </c>
      <c r="E619" s="1" t="n">
        <v>46271</v>
      </c>
      <c r="F619" t="inlineStr">
        <is>
          <t>VÄSTRA GÖTALANDS LÄN</t>
        </is>
      </c>
      <c r="G619" t="inlineStr">
        <is>
          <t>ULRICEHAMN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46271</v>
      </c>
      <c r="F620" t="inlineStr">
        <is>
          <t>VÄSTRA GÖTALANDS LÄN</t>
        </is>
      </c>
      <c r="G620" t="inlineStr">
        <is>
          <t>ULRICEHAMN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46271</v>
      </c>
      <c r="F621" t="inlineStr">
        <is>
          <t>VÄSTRA GÖTALANDS LÄN</t>
        </is>
      </c>
      <c r="G621" t="inlineStr">
        <is>
          <t>ULRICEHAMN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46271</v>
      </c>
      <c r="F622" t="inlineStr">
        <is>
          <t>VÄSTRA GÖTALANDS LÄN</t>
        </is>
      </c>
      <c r="G622" t="inlineStr">
        <is>
          <t>ULRICEHAMN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46191</v>
      </c>
      <c r="E623" s="1" t="n">
        <v>46271</v>
      </c>
      <c r="F623" t="inlineStr">
        <is>
          <t>VÄSTRA GÖTALANDS LÄN</t>
        </is>
      </c>
      <c r="G623" t="inlineStr">
        <is>
          <t>ULRICEHAMN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5471-2024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45332</v>
      </c>
      <c r="E624" s="1" t="n">
        <v>46271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46271</v>
      </c>
      <c r="F625" t="inlineStr">
        <is>
          <t>VÄSTRA GÖTALANDS LÄN</t>
        </is>
      </c>
      <c r="G625" t="inlineStr">
        <is>
          <t>ULRICEHAMN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44593</v>
      </c>
      <c r="E626" s="1" t="n">
        <v>46271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56295-2023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45242</v>
      </c>
      <c r="E627" s="1" t="n">
        <v>46271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37685-2022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44810</v>
      </c>
      <c r="E628" s="1" t="n">
        <v>46271</v>
      </c>
      <c r="F628" t="inlineStr">
        <is>
          <t>VÄSTRA GÖTALANDS LÄN</t>
        </is>
      </c>
      <c r="G628" t="inlineStr">
        <is>
          <t>ULRICEHAMN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46238</v>
      </c>
      <c r="E629" s="1" t="n">
        <v>46271</v>
      </c>
      <c r="F629" t="inlineStr">
        <is>
          <t>VÄSTRA GÖTALANDS LÄN</t>
        </is>
      </c>
      <c r="G629" t="inlineStr">
        <is>
          <t>ULRICEHAMN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19038-2024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45427</v>
      </c>
      <c r="E630" s="1" t="n">
        <v>46271</v>
      </c>
      <c r="F630" t="inlineStr">
        <is>
          <t>VÄSTRA GÖTALANDS LÄN</t>
        </is>
      </c>
      <c r="G630" t="inlineStr">
        <is>
          <t>ULRICEHAMN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57571-2023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46271</v>
      </c>
      <c r="F631" t="inlineStr">
        <is>
          <t>VÄSTRA GÖTALANDS LÄN</t>
        </is>
      </c>
      <c r="G631" t="inlineStr">
        <is>
          <t>ULRICEHAMN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46271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63012-2023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46271</v>
      </c>
      <c r="F633" t="inlineStr">
        <is>
          <t>VÄSTRA GÖTALANDS LÄN</t>
        </is>
      </c>
      <c r="G633" t="inlineStr">
        <is>
          <t>ULRICEHAMN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46240</v>
      </c>
      <c r="E634" s="1" t="n">
        <v>46271</v>
      </c>
      <c r="F634" t="inlineStr">
        <is>
          <t>VÄSTRA GÖTALANDS LÄN</t>
        </is>
      </c>
      <c r="G634" t="inlineStr">
        <is>
          <t>ULRICEHAMN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45086</v>
      </c>
      <c r="E635" s="1" t="n">
        <v>46271</v>
      </c>
      <c r="F635" t="inlineStr">
        <is>
          <t>VÄSTRA GÖTALANDS LÄN</t>
        </is>
      </c>
      <c r="G635" t="inlineStr">
        <is>
          <t>ULRICEHAMN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44565</v>
      </c>
      <c r="E636" s="1" t="n">
        <v>46271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45604</v>
      </c>
      <c r="E637" s="1" t="n">
        <v>46271</v>
      </c>
      <c r="F637" t="inlineStr">
        <is>
          <t>VÄSTRA GÖTALANDS LÄN</t>
        </is>
      </c>
      <c r="G637" t="inlineStr">
        <is>
          <t>ULRICEHAMN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46271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12934-2022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46271</v>
      </c>
      <c r="F639" t="inlineStr">
        <is>
          <t>VÄSTRA GÖTALANDS LÄN</t>
        </is>
      </c>
      <c r="G639" t="inlineStr">
        <is>
          <t>ULRICEHAMN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46271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45273</v>
      </c>
      <c r="E641" s="1" t="n">
        <v>46271</v>
      </c>
      <c r="F641" t="inlineStr">
        <is>
          <t>VÄSTRA GÖTALANDS LÄN</t>
        </is>
      </c>
      <c r="G641" t="inlineStr">
        <is>
          <t>ULRICEHAMN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45059</v>
      </c>
      <c r="E642" s="1" t="n">
        <v>46271</v>
      </c>
      <c r="F642" t="inlineStr">
        <is>
          <t>VÄSTRA GÖTALANDS LÄN</t>
        </is>
      </c>
      <c r="G642" t="inlineStr">
        <is>
          <t>ULRICEHAMN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45059</v>
      </c>
      <c r="E643" s="1" t="n">
        <v>46271</v>
      </c>
      <c r="F643" t="inlineStr">
        <is>
          <t>VÄSTRA GÖTALANDS LÄN</t>
        </is>
      </c>
      <c r="G643" t="inlineStr">
        <is>
          <t>ULRICEHAMN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40031-2023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45168</v>
      </c>
      <c r="E644" s="1" t="n">
        <v>46271</v>
      </c>
      <c r="F644" t="inlineStr">
        <is>
          <t>VÄSTRA GÖTALANDS LÄN</t>
        </is>
      </c>
      <c r="G644" t="inlineStr">
        <is>
          <t>ULRICEHAMN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40035-2023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45168</v>
      </c>
      <c r="E645" s="1" t="n">
        <v>46271</v>
      </c>
      <c r="F645" t="inlineStr">
        <is>
          <t>VÄSTRA GÖTALANDS LÄN</t>
        </is>
      </c>
      <c r="G645" t="inlineStr">
        <is>
          <t>ULRICEHAMN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45038</v>
      </c>
      <c r="E646" s="1" t="n">
        <v>46271</v>
      </c>
      <c r="F646" t="inlineStr">
        <is>
          <t>VÄSTRA GÖTALANDS LÄN</t>
        </is>
      </c>
      <c r="G646" t="inlineStr">
        <is>
          <t>ULRICEHAMN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46271</v>
      </c>
      <c r="F647" t="inlineStr">
        <is>
          <t>VÄSTRA GÖTALANDS LÄN</t>
        </is>
      </c>
      <c r="G647" t="inlineStr">
        <is>
          <t>ULRICEHAMN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16275-2025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46271</v>
      </c>
      <c r="F648" t="inlineStr">
        <is>
          <t>VÄSTRA GÖTALANDS LÄN</t>
        </is>
      </c>
      <c r="G648" t="inlineStr">
        <is>
          <t>ULRICEHAMN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15289-2025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45745</v>
      </c>
      <c r="E649" s="1" t="n">
        <v>46271</v>
      </c>
      <c r="F649" t="inlineStr">
        <is>
          <t>VÄSTRA GÖTALANDS LÄN</t>
        </is>
      </c>
      <c r="G649" t="inlineStr">
        <is>
          <t>ULRICEHAMN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52713-2023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46271</v>
      </c>
      <c r="F650" t="inlineStr">
        <is>
          <t>VÄSTRA GÖTALANDS LÄN</t>
        </is>
      </c>
      <c r="G650" t="inlineStr">
        <is>
          <t>ULRICEHAMN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46271</v>
      </c>
      <c r="F651" t="inlineStr">
        <is>
          <t>VÄSTRA GÖTALANDS LÄN</t>
        </is>
      </c>
      <c r="G651" t="inlineStr">
        <is>
          <t>ULRICEHAMN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44967</v>
      </c>
      <c r="E652" s="1" t="n">
        <v>46271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46248</v>
      </c>
      <c r="E653" s="1" t="n">
        <v>46271</v>
      </c>
      <c r="F653" t="inlineStr">
        <is>
          <t>VÄSTRA GÖTALANDS LÄN</t>
        </is>
      </c>
      <c r="G653" t="inlineStr">
        <is>
          <t>ULRICEHAMN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60409-2024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45643</v>
      </c>
      <c r="E654" s="1" t="n">
        <v>46271</v>
      </c>
      <c r="F654" t="inlineStr">
        <is>
          <t>VÄSTRA GÖTALANDS LÄN</t>
        </is>
      </c>
      <c r="G654" t="inlineStr">
        <is>
          <t>ULRICEHAMN</t>
        </is>
      </c>
      <c r="I654" t="n">
        <v>10.7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45041</v>
      </c>
      <c r="E655" s="1" t="n">
        <v>46271</v>
      </c>
      <c r="F655" t="inlineStr">
        <is>
          <t>VÄSTRA GÖTALANDS LÄN</t>
        </is>
      </c>
      <c r="G655" t="inlineStr">
        <is>
          <t>ULRICEHAMN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60992-2021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46271</v>
      </c>
      <c r="F656" t="inlineStr">
        <is>
          <t>VÄSTRA GÖTALANDS LÄN</t>
        </is>
      </c>
      <c r="G656" t="inlineStr">
        <is>
          <t>ULRICEHAMN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46271</v>
      </c>
      <c r="F657" t="inlineStr">
        <is>
          <t>VÄSTRA GÖTALANDS LÄN</t>
        </is>
      </c>
      <c r="G657" t="inlineStr">
        <is>
          <t>ULRICEHAMN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49912-2021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44455</v>
      </c>
      <c r="E658" s="1" t="n">
        <v>46271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44672</v>
      </c>
      <c r="E659" s="1" t="n">
        <v>46271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45209</v>
      </c>
      <c r="E660" s="1" t="n">
        <v>46271</v>
      </c>
      <c r="F660" t="inlineStr">
        <is>
          <t>VÄSTRA GÖTALANDS LÄN</t>
        </is>
      </c>
      <c r="G660" t="inlineStr">
        <is>
          <t>ULRICEHAMN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8670-2022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44613</v>
      </c>
      <c r="E661" s="1" t="n">
        <v>46271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Sveaskog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45544</v>
      </c>
      <c r="E662" s="1" t="n">
        <v>46271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37515-2023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45158</v>
      </c>
      <c r="E663" s="1" t="n">
        <v>46271</v>
      </c>
      <c r="F663" t="inlineStr">
        <is>
          <t>VÄSTRA GÖTALANDS LÄN</t>
        </is>
      </c>
      <c r="G663" t="inlineStr">
        <is>
          <t>ULRICEHAMN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45428</v>
      </c>
      <c r="E664" s="1" t="n">
        <v>46271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46271</v>
      </c>
      <c r="F665" t="inlineStr">
        <is>
          <t>VÄSTRA GÖTALANDS LÄN</t>
        </is>
      </c>
      <c r="G665" t="inlineStr">
        <is>
          <t>ULRICEHAMN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46271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15180-2022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44658</v>
      </c>
      <c r="E667" s="1" t="n">
        <v>46271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58560-2021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44488</v>
      </c>
      <c r="E668" s="1" t="n">
        <v>46271</v>
      </c>
      <c r="F668" t="inlineStr">
        <is>
          <t>VÄSTRA GÖTALANDS LÄN</t>
        </is>
      </c>
      <c r="G668" t="inlineStr">
        <is>
          <t>ULRICEHAMN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46271</v>
      </c>
      <c r="F669" t="inlineStr">
        <is>
          <t>VÄSTRA GÖTALANDS LÄN</t>
        </is>
      </c>
      <c r="G669" t="inlineStr">
        <is>
          <t>ULRICEHAMN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46271</v>
      </c>
      <c r="F670" t="inlineStr">
        <is>
          <t>VÄSTRA GÖTALANDS LÄN</t>
        </is>
      </c>
      <c r="G670" t="inlineStr">
        <is>
          <t>ULRICEHAMN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46271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45071</v>
      </c>
      <c r="E672" s="1" t="n">
        <v>46271</v>
      </c>
      <c r="F672" t="inlineStr">
        <is>
          <t>VÄSTRA GÖTALANDS LÄN</t>
        </is>
      </c>
      <c r="G672" t="inlineStr">
        <is>
          <t>ULRICEHAMN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46271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46271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55455-2023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45231</v>
      </c>
      <c r="E675" s="1" t="n">
        <v>46271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45782</v>
      </c>
      <c r="E676" s="1" t="n">
        <v>46271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46271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46271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45785</v>
      </c>
      <c r="E679" s="1" t="n">
        <v>46271</v>
      </c>
      <c r="F679" t="inlineStr">
        <is>
          <t>VÄSTRA GÖTALANDS LÄN</t>
        </is>
      </c>
      <c r="G679" t="inlineStr">
        <is>
          <t>ULRICEHAMN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22110-2025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45785</v>
      </c>
      <c r="E680" s="1" t="n">
        <v>46271</v>
      </c>
      <c r="F680" t="inlineStr">
        <is>
          <t>VÄSTRA GÖTALANDS LÄN</t>
        </is>
      </c>
      <c r="G680" t="inlineStr">
        <is>
          <t>ULRICEHAMN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45412</v>
      </c>
      <c r="E681" s="1" t="n">
        <v>46271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45784</v>
      </c>
      <c r="E682" s="1" t="n">
        <v>46271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46271</v>
      </c>
      <c r="F683" t="inlineStr">
        <is>
          <t>VÄSTRA GÖTALANDS LÄN</t>
        </is>
      </c>
      <c r="G683" t="inlineStr">
        <is>
          <t>ULRICEHAMN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46216</v>
      </c>
      <c r="E684" s="1" t="n">
        <v>46271</v>
      </c>
      <c r="F684" t="inlineStr">
        <is>
          <t>VÄSTRA GÖTALANDS LÄN</t>
        </is>
      </c>
      <c r="G684" t="inlineStr">
        <is>
          <t>ULRICEHAMN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46216</v>
      </c>
      <c r="E685" s="1" t="n">
        <v>46271</v>
      </c>
      <c r="F685" t="inlineStr">
        <is>
          <t>VÄSTRA GÖTALANDS LÄN</t>
        </is>
      </c>
      <c r="G685" t="inlineStr">
        <is>
          <t>ULRICEHAMN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46271</v>
      </c>
      <c r="F686" t="inlineStr">
        <is>
          <t>VÄSTRA GÖTALANDS LÄN</t>
        </is>
      </c>
      <c r="G686" t="inlineStr">
        <is>
          <t>ULRICEHAMN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46216</v>
      </c>
      <c r="E687" s="1" t="n">
        <v>46271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46271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46271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37501-2023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45157</v>
      </c>
      <c r="E690" s="1" t="n">
        <v>46271</v>
      </c>
      <c r="F690" t="inlineStr">
        <is>
          <t>VÄSTRA GÖTALANDS LÄN</t>
        </is>
      </c>
      <c r="G690" t="inlineStr">
        <is>
          <t>ULRICEHAMN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23267-2025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45791</v>
      </c>
      <c r="E691" s="1" t="n">
        <v>46271</v>
      </c>
      <c r="F691" t="inlineStr">
        <is>
          <t>VÄSTRA GÖTALANDS LÄN</t>
        </is>
      </c>
      <c r="G691" t="inlineStr">
        <is>
          <t>ULRICEHAMN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22939-2025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46271</v>
      </c>
      <c r="F692" t="inlineStr">
        <is>
          <t>VÄSTRA GÖTALANDS LÄN</t>
        </is>
      </c>
      <c r="G692" t="inlineStr">
        <is>
          <t>ULRICEHAMN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35291-2026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46271</v>
      </c>
      <c r="F693" t="inlineStr">
        <is>
          <t>VÄSTRA GÖTALANDS LÄN</t>
        </is>
      </c>
      <c r="G693" t="inlineStr">
        <is>
          <t>ULRICEHAMN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46271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46271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46262</v>
      </c>
      <c r="E696" s="1" t="n">
        <v>46271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31549-2026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46223</v>
      </c>
      <c r="E697" s="1" t="n">
        <v>46271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46271</v>
      </c>
      <c r="F698" t="inlineStr">
        <is>
          <t>VÄSTRA GÖTALANDS LÄN</t>
        </is>
      </c>
      <c r="G698" t="inlineStr">
        <is>
          <t>ULRICEHAMN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46135</v>
      </c>
      <c r="E699" s="1" t="n">
        <v>46271</v>
      </c>
      <c r="F699" t="inlineStr">
        <is>
          <t>VÄSTRA GÖTALANDS LÄN</t>
        </is>
      </c>
      <c r="G699" t="inlineStr">
        <is>
          <t>ULRICEHAMN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46223</v>
      </c>
      <c r="E700" s="1" t="n">
        <v>46271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31581-2026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46224</v>
      </c>
      <c r="E701" s="1" t="n">
        <v>46271</v>
      </c>
      <c r="F701" t="inlineStr">
        <is>
          <t>VÄSTRA GÖTALANDS LÄN</t>
        </is>
      </c>
      <c r="G701" t="inlineStr">
        <is>
          <t>ULRICEHAMN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46271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46223</v>
      </c>
      <c r="E703" s="1" t="n">
        <v>46271</v>
      </c>
      <c r="F703" t="inlineStr">
        <is>
          <t>VÄSTRA GÖTALANDS LÄN</t>
        </is>
      </c>
      <c r="G703" t="inlineStr">
        <is>
          <t>ULRICEHAMN</t>
        </is>
      </c>
      <c r="H703" t="inlineStr">
        <is>
          <t>Sveaskog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46224</v>
      </c>
      <c r="E704" s="1" t="n">
        <v>46271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Kyrkan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31749-2026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46227</v>
      </c>
      <c r="E705" s="1" t="n">
        <v>46271</v>
      </c>
      <c r="F705" t="inlineStr">
        <is>
          <t>VÄSTRA GÖTALANDS LÄN</t>
        </is>
      </c>
      <c r="G705" t="inlineStr">
        <is>
          <t>ULRICEHAMN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46268</v>
      </c>
      <c r="E706" s="1" t="n">
        <v>46271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46271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46271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46271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46271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46271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46271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46271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46271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46271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46271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46271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46271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2026-09-06T02:06:40Z</dcterms:created>
  <dcterms:modified xmlns:dcterms="http://purl.org/dc/terms/" xmlns:xsi="http://www.w3.org/2001/XMLSchema-instance" xsi:type="dcterms:W3CDTF">2026-09-06T02:06:41Z</dcterms:modified>
</cp:coreProperties>
</file>