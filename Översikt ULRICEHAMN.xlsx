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45837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45837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45837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45837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45837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45837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22060-2025</t>
        </is>
      </c>
      <c r="B8" s="1" t="n">
        <v>45785</v>
      </c>
      <c r="C8" s="1" t="n">
        <v>45837</v>
      </c>
      <c r="D8" t="inlineStr">
        <is>
          <t>VÄSTRA GÖTALANDS LÄN</t>
        </is>
      </c>
      <c r="E8" t="inlineStr">
        <is>
          <t>ULRICEHAMN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Rödvingetrast
Spillkråka</t>
        </is>
      </c>
      <c r="S8">
        <f>HYPERLINK("https://klasma.github.io/Logging_141491/artfynd/A 22060-2025 artfynd.xlsx", "A 22060-2025")</f>
        <v/>
      </c>
      <c r="T8">
        <f>HYPERLINK("https://klasma.github.io/Logging_141491/kartor/A 22060-2025 karta.png", "A 22060-2025")</f>
        <v/>
      </c>
      <c r="V8">
        <f>HYPERLINK("https://klasma.github.io/Logging_141491/klagomål/A 22060-2025 FSC-klagomål.docx", "A 22060-2025")</f>
        <v/>
      </c>
      <c r="W8">
        <f>HYPERLINK("https://klasma.github.io/Logging_141491/klagomålsmail/A 22060-2025 FSC-klagomål mail.docx", "A 22060-2025")</f>
        <v/>
      </c>
      <c r="X8">
        <f>HYPERLINK("https://klasma.github.io/Logging_141491/tillsyn/A 22060-2025 tillsynsbegäran.docx", "A 22060-2025")</f>
        <v/>
      </c>
      <c r="Y8">
        <f>HYPERLINK("https://klasma.github.io/Logging_141491/tillsynsmail/A 22060-2025 tillsynsbegäran mail.docx", "A 22060-2025")</f>
        <v/>
      </c>
      <c r="Z8">
        <f>HYPERLINK("https://klasma.github.io/Logging_141491/fåglar/A 22060-2025 prioriterade fågelarter.docx", "A 22060-2025")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45837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45837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45837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45837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45837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45837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45837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45837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45837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45837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45837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45837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45837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8980-2024</t>
        </is>
      </c>
      <c r="B22" s="1" t="n">
        <v>45357</v>
      </c>
      <c r="C22" s="1" t="n">
        <v>45837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HYPERLINK("https://klasma.github.io/Logging_1491/artfynd/A 8980-2024 artfynd.xlsx", "A 8980-2024")</f>
        <v/>
      </c>
      <c r="T22">
        <f>HYPERLINK("https://klasma.github.io/Logging_1491/kartor/A 8980-2024 karta.png", "A 8980-2024")</f>
        <v/>
      </c>
      <c r="V22">
        <f>HYPERLINK("https://klasma.github.io/Logging_1491/klagomål/A 8980-2024 FSC-klagomål.docx", "A 8980-2024")</f>
        <v/>
      </c>
      <c r="W22">
        <f>HYPERLINK("https://klasma.github.io/Logging_1491/klagomålsmail/A 8980-2024 FSC-klagomål mail.docx", "A 8980-2024")</f>
        <v/>
      </c>
      <c r="X22">
        <f>HYPERLINK("https://klasma.github.io/Logging_1491/tillsyn/A 8980-2024 tillsynsbegäran.docx", "A 8980-2024")</f>
        <v/>
      </c>
      <c r="Y22">
        <f>HYPERLINK("https://klasma.github.io/Logging_1491/tillsynsmail/A 8980-2024 tillsynsbegäran mail.docx", "A 8980-2024")</f>
        <v/>
      </c>
      <c r="Z22">
        <f>HYPERLINK("https://klasma.github.io/Logging_1491/fåglar/A 8980-2024 prioriterade fågelarter.docx", "A 8980-2024")</f>
        <v/>
      </c>
    </row>
    <row r="23" ht="15" customHeight="1">
      <c r="A23" t="inlineStr">
        <is>
          <t>A 37049-2024</t>
        </is>
      </c>
      <c r="B23" s="1" t="n">
        <v>45539</v>
      </c>
      <c r="C23" s="1" t="n">
        <v>45837</v>
      </c>
      <c r="D23" t="inlineStr">
        <is>
          <t>VÄSTRA GÖTALANDS LÄN</t>
        </is>
      </c>
      <c r="E23" t="inlineStr">
        <is>
          <t>ULRICEHAMN</t>
        </is>
      </c>
      <c r="G23" t="n">
        <v>11.4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37049-2024 artfynd.xlsx", "A 37049-2024")</f>
        <v/>
      </c>
      <c r="T23">
        <f>HYPERLINK("https://klasma.github.io/Logging_1491/kartor/A 37049-2024 karta.png", "A 37049-2024")</f>
        <v/>
      </c>
      <c r="V23">
        <f>HYPERLINK("https://klasma.github.io/Logging_1491/klagomål/A 37049-2024 FSC-klagomål.docx", "A 37049-2024")</f>
        <v/>
      </c>
      <c r="W23">
        <f>HYPERLINK("https://klasma.github.io/Logging_1491/klagomålsmail/A 37049-2024 FSC-klagomål mail.docx", "A 37049-2024")</f>
        <v/>
      </c>
      <c r="X23">
        <f>HYPERLINK("https://klasma.github.io/Logging_1491/tillsyn/A 37049-2024 tillsynsbegäran.docx", "A 37049-2024")</f>
        <v/>
      </c>
      <c r="Y23">
        <f>HYPERLINK("https://klasma.github.io/Logging_1491/tillsynsmail/A 37049-2024 tillsynsbegäran mail.docx", "A 37049-2024")</f>
        <v/>
      </c>
    </row>
    <row r="24" ht="15" customHeight="1">
      <c r="A24" t="inlineStr">
        <is>
          <t>A 42763-2024</t>
        </is>
      </c>
      <c r="B24" s="1" t="n">
        <v>45566</v>
      </c>
      <c r="C24" s="1" t="n">
        <v>45837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21290-2025</t>
        </is>
      </c>
      <c r="B25" s="1" t="n">
        <v>45779</v>
      </c>
      <c r="C25" s="1" t="n">
        <v>45837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HYPERLINK("https://klasma.github.io/Logging_141491/artfynd/A 21290-2025 artfynd.xlsx", "A 21290-2025")</f>
        <v/>
      </c>
      <c r="T25">
        <f>HYPERLINK("https://klasma.github.io/Logging_141491/kartor/A 21290-2025 karta.png", "A 21290-2025")</f>
        <v/>
      </c>
      <c r="V25">
        <f>HYPERLINK("https://klasma.github.io/Logging_141491/klagomål/A 21290-2025 FSC-klagomål.docx", "A 21290-2025")</f>
        <v/>
      </c>
      <c r="W25">
        <f>HYPERLINK("https://klasma.github.io/Logging_141491/klagomålsmail/A 21290-2025 FSC-klagomål mail.docx", "A 21290-2025")</f>
        <v/>
      </c>
      <c r="X25">
        <f>HYPERLINK("https://klasma.github.io/Logging_141491/tillsyn/A 21290-2025 tillsynsbegäran.docx", "A 21290-2025")</f>
        <v/>
      </c>
      <c r="Y25">
        <f>HYPERLINK("https://klasma.github.io/Logging_141491/tillsynsmail/A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45837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21672-2025 artfynd.xlsx", "A 21672-2025")</f>
        <v/>
      </c>
      <c r="T26">
        <f>HYPERLINK("https://klasma.github.io/Logging_141491/kartor/A 21672-2025 karta.png", "A 21672-2025")</f>
        <v/>
      </c>
      <c r="V26">
        <f>HYPERLINK("https://klasma.github.io/Logging_141491/klagomål/A 21672-2025 FSC-klagomål.docx", "A 21672-2025")</f>
        <v/>
      </c>
      <c r="W26">
        <f>HYPERLINK("https://klasma.github.io/Logging_141491/klagomålsmail/A 21672-2025 FSC-klagomål mail.docx", "A 21672-2025")</f>
        <v/>
      </c>
      <c r="X26">
        <f>HYPERLINK("https://klasma.github.io/Logging_141491/tillsyn/A 21672-2025 tillsynsbegäran.docx", "A 21672-2025")</f>
        <v/>
      </c>
      <c r="Y26">
        <f>HYPERLINK("https://klasma.github.io/Logging_141491/tillsynsmail/A 21672-2025 tillsynsbegäran mail.docx", "A 21672-2025")</f>
        <v/>
      </c>
      <c r="Z26">
        <f>HYPERLINK("https://klasma.github.io/Logging_141491/fåglar/A 21672-2025 prioriterade fågelarter.docx", "A 21672-2025")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45837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45837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45837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45837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45837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45837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45837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45837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45837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45837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45837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45837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45837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45837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45837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45837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45837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45837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45837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45837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45837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45837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45837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45837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45837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45837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45837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45837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45837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45837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45837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45837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45837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45837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45837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45837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45837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45837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45837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45837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45837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45837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45837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45837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45837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45837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45837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45837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45837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45837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45837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45837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45837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45837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45837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45837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45837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45837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45837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45837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45837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45837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45837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45837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45837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45837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45837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45837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45837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45837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45837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45837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45837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45837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45837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45837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45837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45837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45837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45837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45837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45837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45837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45837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45837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45837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45837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45837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45837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45837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45837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45837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45837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45837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45837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45837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45837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45837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45837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45837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45837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45837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45837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45837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45837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45837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45837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45837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45837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45837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45837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45837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45837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45837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45837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45837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45837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45837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45837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45837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45837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45837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45837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45837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45837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45837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45837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45837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45837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45837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45837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45837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45837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45837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45837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45837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45837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45837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45837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45837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45837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45837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45837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45837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45837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45837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45837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45837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45837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45837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45837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45837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45837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45837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45837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45837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45837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45837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45837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45837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45837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45837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45837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45837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45837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45837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45837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45837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45837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45837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45837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45837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45837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45837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45837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45837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45837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45837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45837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45837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45837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45837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45837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45837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45837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45837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45837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45837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45837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45837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45837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45837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45837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45837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45837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45837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45837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45837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45837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45837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45837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45837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45837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45837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45837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45837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45837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45837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45837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45837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45837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45837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45837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45837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45837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45837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45837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45837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45837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45837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45837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45837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45837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45837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45837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45837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45837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45837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45837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45837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45837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45837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45837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45837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45837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45837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45837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45837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45837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45837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45837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45837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45837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45837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45837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45837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45837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45837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45837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45837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45837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45837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45837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45837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45837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45837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45837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45837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45837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45837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45837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45837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45837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45837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45837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45837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45837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45837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45837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45837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45837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45837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45837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45837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45837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45837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45837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45837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45837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45837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45837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45837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45837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45837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45837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45837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45837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45837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45837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45837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45837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45837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45837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45837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45837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45837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45837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45837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45837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45837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45837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45837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45837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45837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45837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45837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45837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45837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45837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45837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45837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45837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45837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45837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45837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45837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45837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45837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45837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45837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45837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45837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45837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45837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45837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45837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45837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45837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45837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45837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45837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45837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45837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45837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45837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45837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45837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45837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45837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45837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45837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45837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45837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45837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45837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45837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45837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45837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45837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45837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45837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45837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45837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45837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45837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45837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45837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45837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45837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45837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45837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45837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45837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45837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45837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45837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45837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45837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45837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45837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45837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45837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45837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45837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45837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45837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45837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45837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45837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45837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45837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45837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45837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45837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45837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45837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45837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45837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45837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45837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45837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45837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45837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45837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45837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45837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45837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45837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45837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45837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45837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45837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45837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45837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45837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45837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45837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45837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45837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45837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45837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45837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45837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45837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45837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45837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45837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45837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45837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45837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45837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45837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45837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45837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45837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45837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45837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45837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45837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45837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45837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45837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45837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45837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45837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45837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45837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45837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45837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45837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45837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45837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45837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45837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45837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45837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45837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45837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45837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45837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45837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45837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45837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45837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45837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45837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45837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45837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45837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45837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45837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45837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45837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45837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45837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45837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45837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45837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45837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45837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45837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45837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45837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45837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45837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45837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45837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45837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45837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45837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45837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45837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45837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45837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45837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45837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45837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45837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45837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45837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45837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45837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45837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45837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45837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45837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45837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45837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45837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45837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45837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45837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45837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45837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45837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45837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45837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45837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45837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45837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45837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45837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45837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45837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45837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45837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45837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45837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45837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45837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45837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45837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45837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45837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45837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45837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45837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45837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45837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45837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45837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45837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45837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45837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45837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45837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45837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45837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45837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45837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45837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45837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45837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45837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45837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45837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45837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45837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45837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45837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45837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45837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45837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45837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45837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45837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45837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45837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45837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45837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45837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45837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45837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45837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45837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45837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45837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45837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45837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45837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45837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45837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45837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45837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45837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45837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45837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45837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45837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45837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45837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45837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45837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45837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45837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45837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45837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45837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45837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45837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45837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45837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45837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45837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45837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45837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45837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45837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45837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45837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45837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45837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45837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45837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45837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45837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45837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45837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45837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45837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45837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45837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45837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45837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45837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45837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45837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45837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45837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45837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45837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45837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45837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45837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45837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45837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45837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45837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45837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45837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45837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45837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45837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45837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45837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45837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45837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45837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45837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45837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45837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45837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45837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45837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45837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45837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45837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45837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45837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45837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45837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45837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45837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45837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45837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45837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45837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45837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45837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45837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45837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45837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45837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45837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45837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45837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45837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45837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45837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45837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45837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45837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45837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45837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45837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45837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45837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45837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45837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45837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45837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45837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45837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45837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45837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45837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45837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45837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45837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45837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45837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45837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45837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45837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45837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45837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45837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45837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45837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45837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45837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45837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45837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45837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45837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45837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45837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45837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45837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45837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45837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45837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45837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45837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45837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45837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45837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45837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45837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45837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45837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45837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45837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45837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45837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45837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45837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45837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45837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45837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45837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45837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45837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45837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45837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45837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45837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45837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45837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45837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45837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45837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45837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45837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45837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45837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45837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45837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45837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45837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45837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45837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45837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45837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45837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45837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45837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45837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45837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45837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45837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45837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45837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45837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45837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45837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45837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45837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45837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45837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45837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45837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45837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45837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45837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45837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45837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45837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45837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45837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45837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45837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45837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45837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45837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45837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45837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45837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45837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45837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45837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45837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45837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45837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45837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45837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45837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45837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45837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45837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45837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45837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45837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45837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45837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45837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45837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45837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45837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45837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45837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45837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45837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45837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45837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45837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45837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45837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45837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45837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45837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45837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45837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45837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45837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45837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45837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45837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45837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45837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45837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45837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45837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45837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45837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45837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45837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45837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45837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45837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45837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45837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45837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45837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45837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45837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45837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45837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45837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45837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45837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45837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45837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45837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45837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45837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45837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45837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45837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45837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45837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45837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45837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45837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45837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45837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45837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45837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45837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45837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45837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45837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45837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45837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45837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45837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45837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45837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45837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45837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45837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45837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45837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45837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45837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45837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45837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45837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45837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45837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45837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45837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45837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45837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45837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45837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45837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45837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45837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45837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45837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45837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45837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45837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45837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45837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45837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45837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45837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45837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45837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45837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45837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45837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45837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45837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45837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45837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45837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45837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45837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45837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45837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45837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45837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45837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45837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45837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45837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45837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45837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45837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45837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45837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45837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45837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45837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45837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45837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45837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45837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45837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45837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45837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45837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45837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45837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45837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45837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45837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45837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45837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45837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45837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45837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45837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45837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45837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45837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45837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45837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45837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45837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45837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45837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45837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45837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45837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45837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45837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45837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45837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45837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45837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45837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45837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45837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45837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45837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45837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45837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45837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45837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45837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45837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45837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45837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45837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45837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45837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45837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45837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45837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45837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45837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45837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45837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45837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45837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45837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45837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45837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45837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45837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45837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45837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45837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45837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45837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45837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45837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45837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45837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45837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45837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45837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45837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45837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45837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45837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45837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45837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45837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45837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45837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45837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45837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45837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45837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45837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45837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45837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45837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45837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45837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45837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45837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45837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45837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45837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45837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45837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45837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45837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45837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45837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45837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45837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45837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45837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45837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45837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45837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45837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45837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45837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45837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45837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45837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45837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45837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45837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45837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45837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45837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45837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45837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45837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45837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45837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45837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45837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45837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45837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45837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45837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45837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45837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45837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45837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45837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45837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45837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45837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45837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45837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45837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45837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45837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45837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45837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45837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45837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45837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45837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45837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45837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45837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45837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45837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45837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45837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45837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45837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45837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45837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45837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45837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45837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45837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45837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45837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45837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45837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45837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45837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45837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45837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45837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45837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45837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45837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45837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45837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45837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45837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45837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45837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45837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45837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45837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45837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45837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45837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45837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45837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45837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45837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45837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45837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45837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45837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45837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45837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45837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45837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45837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45837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45837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45837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45837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45837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45837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45837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45837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45837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45837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45837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45837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45837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45837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45837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45837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45837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45837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45837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45837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45837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45837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45837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45837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45837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45837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45837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45837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45837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45837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45837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45837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45837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45837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45837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45837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45837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45837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45837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45837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45837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45837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45837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45837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45837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45837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45837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45837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45837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45837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45837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45837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45837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45837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45837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45837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45837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45837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45837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45837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45837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45837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45837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45837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45837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45837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45837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45837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45837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45837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45837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45837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45837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45837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45837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45837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45837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45837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45837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45837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45837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45837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45837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45837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45837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45837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45837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45837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45837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45837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45837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45837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45837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45837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45837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45837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45837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45837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45837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45837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45837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45837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45837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45837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45837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45837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45837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45837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45837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45837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45837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45837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45837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45837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45837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45837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45837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45837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45837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45837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45837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45837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45837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45837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45837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45837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45837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45837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45837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45837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45837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45837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45837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45837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45837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45837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45837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45837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45837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45837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45837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45837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45837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45837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45837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45837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45837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45837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45837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45837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45837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45837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45837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45837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45837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45837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45837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45837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45837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45837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45837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45837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45837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45837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45837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45837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45837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45837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45837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45837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45837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45837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45837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45837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45837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45837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45837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45837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45837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45837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45837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45837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45837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45837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45837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45837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45837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45837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45837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45837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45837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45837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45837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45837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45837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45837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45837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45837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45837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45837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45837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45837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45837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45837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45837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45837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45837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45837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45837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45837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45837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45837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45837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45837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45837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45837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45837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45837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45837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45837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19416-2025</t>
        </is>
      </c>
      <c r="B1394" s="1" t="n">
        <v>45769</v>
      </c>
      <c r="C1394" s="1" t="n">
        <v>45837</v>
      </c>
      <c r="D1394" t="inlineStr">
        <is>
          <t>VÄSTRA GÖTALANDS LÄN</t>
        </is>
      </c>
      <c r="E1394" t="inlineStr">
        <is>
          <t>ULRICEHAMN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19163-2025</t>
        </is>
      </c>
      <c r="B1395" s="1" t="n">
        <v>45769</v>
      </c>
      <c r="C1395" s="1" t="n">
        <v>45837</v>
      </c>
      <c r="D1395" t="inlineStr">
        <is>
          <t>VÄSTRA GÖTALANDS LÄN</t>
        </is>
      </c>
      <c r="E1395" t="inlineStr">
        <is>
          <t>ULRICEHAMN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45837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45837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45837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19833-2025</t>
        </is>
      </c>
      <c r="B1399" s="1" t="n">
        <v>45771</v>
      </c>
      <c r="C1399" s="1" t="n">
        <v>45837</v>
      </c>
      <c r="D1399" t="inlineStr">
        <is>
          <t>VÄSTRA GÖTALANDS LÄN</t>
        </is>
      </c>
      <c r="E1399" t="inlineStr">
        <is>
          <t>ULRICEHAMN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19864-2025</t>
        </is>
      </c>
      <c r="B1400" s="1" t="n">
        <v>45771</v>
      </c>
      <c r="C1400" s="1" t="n">
        <v>45837</v>
      </c>
      <c r="D1400" t="inlineStr">
        <is>
          <t>VÄSTRA GÖTALANDS LÄN</t>
        </is>
      </c>
      <c r="E1400" t="inlineStr">
        <is>
          <t>ULRICEHAMN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45837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45837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45837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45837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45837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45837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45837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45837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21830-2025</t>
        </is>
      </c>
      <c r="B1409" s="1" t="n">
        <v>45784</v>
      </c>
      <c r="C1409" s="1" t="n">
        <v>45837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21831-2025</t>
        </is>
      </c>
      <c r="B1410" s="1" t="n">
        <v>45784</v>
      </c>
      <c r="C1410" s="1" t="n">
        <v>45837</v>
      </c>
      <c r="D1410" t="inlineStr">
        <is>
          <t>VÄSTRA GÖTALANDS LÄN</t>
        </is>
      </c>
      <c r="E1410" t="inlineStr">
        <is>
          <t>ULRICEHAMN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21918-2025</t>
        </is>
      </c>
      <c r="B1411" s="1" t="n">
        <v>45784</v>
      </c>
      <c r="C1411" s="1" t="n">
        <v>45837</v>
      </c>
      <c r="D1411" t="inlineStr">
        <is>
          <t>VÄSTRA GÖTALANDS LÄN</t>
        </is>
      </c>
      <c r="E1411" t="inlineStr">
        <is>
          <t>ULRICEHAMN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22152-2025</t>
        </is>
      </c>
      <c r="B1412" s="1" t="n">
        <v>45785</v>
      </c>
      <c r="C1412" s="1" t="n">
        <v>45837</v>
      </c>
      <c r="D1412" t="inlineStr">
        <is>
          <t>VÄSTRA GÖTALANDS LÄN</t>
        </is>
      </c>
      <c r="E1412" t="inlineStr">
        <is>
          <t>ULRICEHAMN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22110-2025</t>
        </is>
      </c>
      <c r="B1413" s="1" t="n">
        <v>45785</v>
      </c>
      <c r="C1413" s="1" t="n">
        <v>45837</v>
      </c>
      <c r="D1413" t="inlineStr">
        <is>
          <t>VÄSTRA GÖTALANDS LÄN</t>
        </is>
      </c>
      <c r="E1413" t="inlineStr">
        <is>
          <t>ULRICEHAMN</t>
        </is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45837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45837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45837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45837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23937-2025</t>
        </is>
      </c>
      <c r="B1418" s="1" t="n">
        <v>45795</v>
      </c>
      <c r="C1418" s="1" t="n">
        <v>45837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24347-2025</t>
        </is>
      </c>
      <c r="B1419" s="1" t="n">
        <v>45797</v>
      </c>
      <c r="C1419" s="1" t="n">
        <v>45837</v>
      </c>
      <c r="D1419" t="inlineStr">
        <is>
          <t>VÄSTRA GÖTALANDS LÄN</t>
        </is>
      </c>
      <c r="E1419" t="inlineStr">
        <is>
          <t>ULRICEHAMN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24300-2025</t>
        </is>
      </c>
      <c r="B1420" s="1" t="n">
        <v>45797</v>
      </c>
      <c r="C1420" s="1" t="n">
        <v>45837</v>
      </c>
      <c r="D1420" t="inlineStr">
        <is>
          <t>VÄSTRA GÖTALANDS LÄN</t>
        </is>
      </c>
      <c r="E1420" t="inlineStr">
        <is>
          <t>ULRICEHAMN</t>
        </is>
      </c>
      <c r="F1420" t="inlineStr">
        <is>
          <t>Sveaskog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24283-2025</t>
        </is>
      </c>
      <c r="B1421" s="1" t="n">
        <v>45797</v>
      </c>
      <c r="C1421" s="1" t="n">
        <v>45837</v>
      </c>
      <c r="D1421" t="inlineStr">
        <is>
          <t>VÄSTRA GÖTALANDS LÄN</t>
        </is>
      </c>
      <c r="E1421" t="inlineStr">
        <is>
          <t>ULRICEHAMN</t>
        </is>
      </c>
      <c r="F1421" t="inlineStr">
        <is>
          <t>Sveaskog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24290-2025</t>
        </is>
      </c>
      <c r="B1422" s="1" t="n">
        <v>45797</v>
      </c>
      <c r="C1422" s="1" t="n">
        <v>45837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24301-2025</t>
        </is>
      </c>
      <c r="B1423" s="1" t="n">
        <v>45797</v>
      </c>
      <c r="C1423" s="1" t="n">
        <v>45837</v>
      </c>
      <c r="D1423" t="inlineStr">
        <is>
          <t>VÄSTRA GÖTALANDS LÄN</t>
        </is>
      </c>
      <c r="E1423" t="inlineStr">
        <is>
          <t>ULRICEHAMN</t>
        </is>
      </c>
      <c r="F1423" t="inlineStr">
        <is>
          <t>Sveaskog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24306-2025</t>
        </is>
      </c>
      <c r="B1424" s="1" t="n">
        <v>45797</v>
      </c>
      <c r="C1424" s="1" t="n">
        <v>45837</v>
      </c>
      <c r="D1424" t="inlineStr">
        <is>
          <t>VÄSTRA GÖTALANDS LÄN</t>
        </is>
      </c>
      <c r="E1424" t="inlineStr">
        <is>
          <t>ULRICEHAMN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24524-2025</t>
        </is>
      </c>
      <c r="B1425" s="1" t="n">
        <v>45798</v>
      </c>
      <c r="C1425" s="1" t="n">
        <v>45837</v>
      </c>
      <c r="D1425" t="inlineStr">
        <is>
          <t>VÄSTRA GÖTALANDS LÄN</t>
        </is>
      </c>
      <c r="E1425" t="inlineStr">
        <is>
          <t>ULRICEHAMN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24517-2025</t>
        </is>
      </c>
      <c r="B1426" s="1" t="n">
        <v>45798</v>
      </c>
      <c r="C1426" s="1" t="n">
        <v>45837</v>
      </c>
      <c r="D1426" t="inlineStr">
        <is>
          <t>VÄSTRA GÖTALANDS LÄN</t>
        </is>
      </c>
      <c r="E1426" t="inlineStr">
        <is>
          <t>ULRICEHAMN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24700-2025</t>
        </is>
      </c>
      <c r="B1427" s="1" t="n">
        <v>45798</v>
      </c>
      <c r="C1427" s="1" t="n">
        <v>45837</v>
      </c>
      <c r="D1427" t="inlineStr">
        <is>
          <t>VÄSTRA GÖTALANDS LÄN</t>
        </is>
      </c>
      <c r="E1427" t="inlineStr">
        <is>
          <t>ULRICEHAMN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24587-2025</t>
        </is>
      </c>
      <c r="B1428" s="1" t="n">
        <v>45798</v>
      </c>
      <c r="C1428" s="1" t="n">
        <v>45837</v>
      </c>
      <c r="D1428" t="inlineStr">
        <is>
          <t>VÄSTRA GÖTALANDS LÄN</t>
        </is>
      </c>
      <c r="E1428" t="inlineStr">
        <is>
          <t>ULRICEHAMN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24901-2025</t>
        </is>
      </c>
      <c r="B1429" s="1" t="n">
        <v>45799</v>
      </c>
      <c r="C1429" s="1" t="n">
        <v>45837</v>
      </c>
      <c r="D1429" t="inlineStr">
        <is>
          <t>VÄSTRA GÖTALANDS LÄN</t>
        </is>
      </c>
      <c r="E1429" t="inlineStr">
        <is>
          <t>ULRICEHAMN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24800-2025</t>
        </is>
      </c>
      <c r="B1430" s="1" t="n">
        <v>45799</v>
      </c>
      <c r="C1430" s="1" t="n">
        <v>45837</v>
      </c>
      <c r="D1430" t="inlineStr">
        <is>
          <t>VÄSTRA GÖTALANDS LÄN</t>
        </is>
      </c>
      <c r="E1430" t="inlineStr">
        <is>
          <t>ULRICEHAMN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26048-2025</t>
        </is>
      </c>
      <c r="B1431" s="1" t="n">
        <v>45804</v>
      </c>
      <c r="C1431" s="1" t="n">
        <v>45837</v>
      </c>
      <c r="D1431" t="inlineStr">
        <is>
          <t>VÄSTRA GÖTALANDS LÄN</t>
        </is>
      </c>
      <c r="E1431" t="inlineStr">
        <is>
          <t>ULRICEHAMN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25921-2025</t>
        </is>
      </c>
      <c r="B1432" s="1" t="n">
        <v>45804</v>
      </c>
      <c r="C1432" s="1" t="n">
        <v>45837</v>
      </c>
      <c r="D1432" t="inlineStr">
        <is>
          <t>VÄSTRA GÖTALANDS LÄN</t>
        </is>
      </c>
      <c r="E1432" t="inlineStr">
        <is>
          <t>ULRICEHAMN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26077-2025</t>
        </is>
      </c>
      <c r="B1433" s="1" t="n">
        <v>45805</v>
      </c>
      <c r="C1433" s="1" t="n">
        <v>45837</v>
      </c>
      <c r="D1433" t="inlineStr">
        <is>
          <t>VÄSTRA GÖTALANDS LÄN</t>
        </is>
      </c>
      <c r="E1433" t="inlineStr">
        <is>
          <t>ULRICEHAMN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26380-2025</t>
        </is>
      </c>
      <c r="B1434" s="1" t="n">
        <v>45806</v>
      </c>
      <c r="C1434" s="1" t="n">
        <v>45837</v>
      </c>
      <c r="D1434" t="inlineStr">
        <is>
          <t>VÄSTRA GÖTALANDS LÄN</t>
        </is>
      </c>
      <c r="E1434" t="inlineStr">
        <is>
          <t>ULRICEHAMN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26382-2025</t>
        </is>
      </c>
      <c r="B1435" s="1" t="n">
        <v>45806</v>
      </c>
      <c r="C1435" s="1" t="n">
        <v>45837</v>
      </c>
      <c r="D1435" t="inlineStr">
        <is>
          <t>VÄSTRA GÖTALANDS LÄN</t>
        </is>
      </c>
      <c r="E1435" t="inlineStr">
        <is>
          <t>ULRICEHAMN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26376-2025</t>
        </is>
      </c>
      <c r="B1436" s="1" t="n">
        <v>45806</v>
      </c>
      <c r="C1436" s="1" t="n">
        <v>45837</v>
      </c>
      <c r="D1436" t="inlineStr">
        <is>
          <t>VÄSTRA GÖTALANDS LÄN</t>
        </is>
      </c>
      <c r="E1436" t="inlineStr">
        <is>
          <t>ULRICEHAMN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26377-2025</t>
        </is>
      </c>
      <c r="B1437" s="1" t="n">
        <v>45806</v>
      </c>
      <c r="C1437" s="1" t="n">
        <v>45837</v>
      </c>
      <c r="D1437" t="inlineStr">
        <is>
          <t>VÄSTRA GÖTALANDS LÄN</t>
        </is>
      </c>
      <c r="E1437" t="inlineStr">
        <is>
          <t>ULRICEHAMN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26383-2025</t>
        </is>
      </c>
      <c r="B1438" s="1" t="n">
        <v>45806</v>
      </c>
      <c r="C1438" s="1" t="n">
        <v>45837</v>
      </c>
      <c r="D1438" t="inlineStr">
        <is>
          <t>VÄSTRA GÖTALANDS LÄN</t>
        </is>
      </c>
      <c r="E1438" t="inlineStr">
        <is>
          <t>ULRICEHAMN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26384-2025</t>
        </is>
      </c>
      <c r="B1439" s="1" t="n">
        <v>45806</v>
      </c>
      <c r="C1439" s="1" t="n">
        <v>45837</v>
      </c>
      <c r="D1439" t="inlineStr">
        <is>
          <t>VÄSTRA GÖTALANDS LÄN</t>
        </is>
      </c>
      <c r="E1439" t="inlineStr">
        <is>
          <t>ULRICEHAMN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26385-2025</t>
        </is>
      </c>
      <c r="B1440" s="1" t="n">
        <v>45806</v>
      </c>
      <c r="C1440" s="1" t="n">
        <v>45837</v>
      </c>
      <c r="D1440" t="inlineStr">
        <is>
          <t>VÄSTRA GÖTALANDS LÄN</t>
        </is>
      </c>
      <c r="E1440" t="inlineStr">
        <is>
          <t>ULRICEHAMN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26381-2025</t>
        </is>
      </c>
      <c r="B1441" s="1" t="n">
        <v>45806</v>
      </c>
      <c r="C1441" s="1" t="n">
        <v>45837</v>
      </c>
      <c r="D1441" t="inlineStr">
        <is>
          <t>VÄSTRA GÖTALANDS LÄN</t>
        </is>
      </c>
      <c r="E1441" t="inlineStr">
        <is>
          <t>ULRICEHAMN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27655-2025</t>
        </is>
      </c>
      <c r="B1442" s="1" t="n">
        <v>45813</v>
      </c>
      <c r="C1442" s="1" t="n">
        <v>45837</v>
      </c>
      <c r="D1442" t="inlineStr">
        <is>
          <t>VÄSTRA GÖTALANDS LÄN</t>
        </is>
      </c>
      <c r="E1442" t="inlineStr">
        <is>
          <t>ULRICEHAMN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27733-2025</t>
        </is>
      </c>
      <c r="B1443" s="1" t="n">
        <v>45814</v>
      </c>
      <c r="C1443" s="1" t="n">
        <v>45837</v>
      </c>
      <c r="D1443" t="inlineStr">
        <is>
          <t>VÄSTRA GÖTALANDS LÄN</t>
        </is>
      </c>
      <c r="E1443" t="inlineStr">
        <is>
          <t>ULRICEHAMN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29057-2025</t>
        </is>
      </c>
      <c r="B1444" s="1" t="n">
        <v>45821</v>
      </c>
      <c r="C1444" s="1" t="n">
        <v>45837</v>
      </c>
      <c r="D1444" t="inlineStr">
        <is>
          <t>VÄSTRA GÖTALANDS LÄN</t>
        </is>
      </c>
      <c r="E1444" t="inlineStr">
        <is>
          <t>ULRICEHAMN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29325-2025</t>
        </is>
      </c>
      <c r="B1445" s="1" t="n">
        <v>45824</v>
      </c>
      <c r="C1445" s="1" t="n">
        <v>45837</v>
      </c>
      <c r="D1445" t="inlineStr">
        <is>
          <t>VÄSTRA GÖTALANDS LÄN</t>
        </is>
      </c>
      <c r="E1445" t="inlineStr">
        <is>
          <t>ULRICEHAMN</t>
        </is>
      </c>
      <c r="G1445" t="n">
        <v>14.8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29515-2025</t>
        </is>
      </c>
      <c r="B1446" s="1" t="n">
        <v>45825</v>
      </c>
      <c r="C1446" s="1" t="n">
        <v>45837</v>
      </c>
      <c r="D1446" t="inlineStr">
        <is>
          <t>VÄSTRA GÖTALANDS LÄN</t>
        </is>
      </c>
      <c r="E1446" t="inlineStr">
        <is>
          <t>ULRICEHAMN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30036-2025</t>
        </is>
      </c>
      <c r="B1447" s="1" t="n">
        <v>45826</v>
      </c>
      <c r="C1447" s="1" t="n">
        <v>45837</v>
      </c>
      <c r="D1447" t="inlineStr">
        <is>
          <t>VÄSTRA GÖTALANDS LÄN</t>
        </is>
      </c>
      <c r="E1447" t="inlineStr">
        <is>
          <t>ULRICEHAMN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29924-2025</t>
        </is>
      </c>
      <c r="B1448" s="1" t="n">
        <v>45826</v>
      </c>
      <c r="C1448" s="1" t="n">
        <v>45837</v>
      </c>
      <c r="D1448" t="inlineStr">
        <is>
          <t>VÄSTRA GÖTALANDS LÄN</t>
        </is>
      </c>
      <c r="E1448" t="inlineStr">
        <is>
          <t>ULRICEHAMN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30057-2025</t>
        </is>
      </c>
      <c r="B1449" s="1" t="n">
        <v>45826</v>
      </c>
      <c r="C1449" s="1" t="n">
        <v>45837</v>
      </c>
      <c r="D1449" t="inlineStr">
        <is>
          <t>VÄSTRA GÖTALANDS LÄN</t>
        </is>
      </c>
      <c r="E1449" t="inlineStr">
        <is>
          <t>ULRICEHAMN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30844-2025</t>
        </is>
      </c>
      <c r="B1450" s="1" t="n">
        <v>45831</v>
      </c>
      <c r="C1450" s="1" t="n">
        <v>45837</v>
      </c>
      <c r="D1450" t="inlineStr">
        <is>
          <t>VÄSTRA GÖTALANDS LÄN</t>
        </is>
      </c>
      <c r="E1450" t="inlineStr">
        <is>
          <t>ULRICEHAMN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30846-2025</t>
        </is>
      </c>
      <c r="B1451" s="1" t="n">
        <v>45831</v>
      </c>
      <c r="C1451" s="1" t="n">
        <v>45837</v>
      </c>
      <c r="D1451" t="inlineStr">
        <is>
          <t>VÄSTRA GÖTALANDS LÄN</t>
        </is>
      </c>
      <c r="E1451" t="inlineStr">
        <is>
          <t>ULRICEHAMN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30847-2025</t>
        </is>
      </c>
      <c r="B1452" s="1" t="n">
        <v>45831</v>
      </c>
      <c r="C1452" s="1" t="n">
        <v>45837</v>
      </c>
      <c r="D1452" t="inlineStr">
        <is>
          <t>VÄSTRA GÖTALANDS LÄN</t>
        </is>
      </c>
      <c r="E1452" t="inlineStr">
        <is>
          <t>ULRICEHAMN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31621-2025</t>
        </is>
      </c>
      <c r="B1453" s="1" t="n">
        <v>45833</v>
      </c>
      <c r="C1453" s="1" t="n">
        <v>45837</v>
      </c>
      <c r="D1453" t="inlineStr">
        <is>
          <t>VÄSTRA GÖTALANDS LÄN</t>
        </is>
      </c>
      <c r="E1453" t="inlineStr">
        <is>
          <t>ULRICEHAMN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31615-2025</t>
        </is>
      </c>
      <c r="B1454" s="1" t="n">
        <v>45833</v>
      </c>
      <c r="C1454" s="1" t="n">
        <v>45837</v>
      </c>
      <c r="D1454" t="inlineStr">
        <is>
          <t>VÄSTRA GÖTALANDS LÄN</t>
        </is>
      </c>
      <c r="E1454" t="inlineStr">
        <is>
          <t>ULRICEHAMN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31405-2025</t>
        </is>
      </c>
      <c r="B1455" s="1" t="n">
        <v>45833</v>
      </c>
      <c r="C1455" s="1" t="n">
        <v>45837</v>
      </c>
      <c r="D1455" t="inlineStr">
        <is>
          <t>VÄSTRA GÖTALANDS LÄN</t>
        </is>
      </c>
      <c r="E1455" t="inlineStr">
        <is>
          <t>ULRICEHAMN</t>
        </is>
      </c>
      <c r="F1455" t="inlineStr">
        <is>
          <t>Sveaskog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31410-2025</t>
        </is>
      </c>
      <c r="B1456" s="1" t="n">
        <v>45833</v>
      </c>
      <c r="C1456" s="1" t="n">
        <v>45837</v>
      </c>
      <c r="D1456" t="inlineStr">
        <is>
          <t>VÄSTRA GÖTALANDS LÄN</t>
        </is>
      </c>
      <c r="E1456" t="inlineStr">
        <is>
          <t>ULRICEHAMN</t>
        </is>
      </c>
      <c r="F1456" t="inlineStr">
        <is>
          <t>Sveaskog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31394-2025</t>
        </is>
      </c>
      <c r="B1457" s="1" t="n">
        <v>45833</v>
      </c>
      <c r="C1457" s="1" t="n">
        <v>45837</v>
      </c>
      <c r="D1457" t="inlineStr">
        <is>
          <t>VÄSTRA GÖTALANDS LÄN</t>
        </is>
      </c>
      <c r="E1457" t="inlineStr">
        <is>
          <t>ULRICEHAMN</t>
        </is>
      </c>
      <c r="F1457" t="inlineStr">
        <is>
          <t>Sveaskog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31384-2025</t>
        </is>
      </c>
      <c r="B1458" s="1" t="n">
        <v>45833</v>
      </c>
      <c r="C1458" s="1" t="n">
        <v>45837</v>
      </c>
      <c r="D1458" t="inlineStr">
        <is>
          <t>VÄSTRA GÖTALANDS LÄN</t>
        </is>
      </c>
      <c r="E1458" t="inlineStr">
        <is>
          <t>ULRICEHAMN</t>
        </is>
      </c>
      <c r="F1458" t="inlineStr">
        <is>
          <t>Sveaskog</t>
        </is>
      </c>
      <c r="G1458" t="n">
        <v>6.6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31391-2025</t>
        </is>
      </c>
      <c r="B1459" s="1" t="n">
        <v>45833</v>
      </c>
      <c r="C1459" s="1" t="n">
        <v>45837</v>
      </c>
      <c r="D1459" t="inlineStr">
        <is>
          <t>VÄSTRA GÖTALANDS LÄN</t>
        </is>
      </c>
      <c r="E1459" t="inlineStr">
        <is>
          <t>ULRICEHAMN</t>
        </is>
      </c>
      <c r="F1459" t="inlineStr">
        <is>
          <t>Sveaskog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32214-2025</t>
        </is>
      </c>
      <c r="B1460" s="1" t="n">
        <v>45835</v>
      </c>
      <c r="C1460" s="1" t="n">
        <v>45837</v>
      </c>
      <c r="D1460" t="inlineStr">
        <is>
          <t>VÄSTRA GÖTALANDS LÄN</t>
        </is>
      </c>
      <c r="E1460" t="inlineStr">
        <is>
          <t>ULRICEHAMN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31939-2025</t>
        </is>
      </c>
      <c r="B1461" s="1" t="n">
        <v>45835</v>
      </c>
      <c r="C1461" s="1" t="n">
        <v>45837</v>
      </c>
      <c r="D1461" t="inlineStr">
        <is>
          <t>VÄSTRA GÖTALANDS LÄN</t>
        </is>
      </c>
      <c r="E1461" t="inlineStr">
        <is>
          <t>ULRICEHAMN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32211-2025</t>
        </is>
      </c>
      <c r="B1462" s="1" t="n">
        <v>45835</v>
      </c>
      <c r="C1462" s="1" t="n">
        <v>45837</v>
      </c>
      <c r="D1462" t="inlineStr">
        <is>
          <t>VÄSTRA GÖTALANDS LÄN</t>
        </is>
      </c>
      <c r="E1462" t="inlineStr">
        <is>
          <t>ULRICEHAMN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32208-2025</t>
        </is>
      </c>
      <c r="B1463" s="1" t="n">
        <v>45835</v>
      </c>
      <c r="C1463" s="1" t="n">
        <v>45837</v>
      </c>
      <c r="D1463" t="inlineStr">
        <is>
          <t>VÄSTRA GÖTALANDS LÄN</t>
        </is>
      </c>
      <c r="E1463" t="inlineStr">
        <is>
          <t>ULRICEHAMN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>
      <c r="A1464" t="inlineStr">
        <is>
          <t>A 31940-2025</t>
        </is>
      </c>
      <c r="B1464" s="1" t="n">
        <v>45835</v>
      </c>
      <c r="C1464" s="1" t="n">
        <v>45837</v>
      </c>
      <c r="D1464" t="inlineStr">
        <is>
          <t>VÄSTRA GÖTALANDS LÄN</t>
        </is>
      </c>
      <c r="E1464" t="inlineStr">
        <is>
          <t>ULRICEHAMN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2025-06-29T19:15:15Z</dcterms:created>
  <dcterms:modified xmlns:dcterms="http://purl.org/dc/terms/" xmlns:xsi="http://www.w3.org/2001/XMLSchema-instance" xsi:type="dcterms:W3CDTF">2025-06-29T19:15:16Z</dcterms:modified>
</cp:coreProperties>
</file>